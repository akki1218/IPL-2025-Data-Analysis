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97617538fde8d1a/Desktop/akki/"/>
    </mc:Choice>
  </mc:AlternateContent>
  <xr:revisionPtr revIDLastSave="45" documentId="8_{6AD052ED-73F8-4E0C-A940-C0F0935782CD}" xr6:coauthVersionLast="47" xr6:coauthVersionMax="47" xr10:uidLastSave="{CF69AC32-7739-4390-9B9C-023D17FE24F3}"/>
  <bookViews>
    <workbookView xWindow="11424" yWindow="0" windowWidth="11712" windowHeight="13776" firstSheet="1" activeTab="2" xr2:uid="{5036B85F-C53C-46D0-8020-9C7DF04ABEBF}"/>
  </bookViews>
  <sheets>
    <sheet name="Sheet1" sheetId="3" r:id="rId1"/>
    <sheet name="ipl_2026_analysis" sheetId="1" r:id="rId2"/>
    <sheet name="Team Analysis" sheetId="2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2" i="2"/>
  <c r="C3" i="2"/>
  <c r="C4" i="2"/>
  <c r="C5" i="2"/>
  <c r="C6" i="2"/>
  <c r="C7" i="2"/>
  <c r="C8" i="2"/>
  <c r="C9" i="2"/>
  <c r="C10" i="2"/>
  <c r="C11" i="2"/>
  <c r="C2" i="2"/>
  <c r="B3" i="2"/>
  <c r="B4" i="2"/>
  <c r="B5" i="2"/>
  <c r="B6" i="2"/>
  <c r="B7" i="2"/>
  <c r="B8" i="2"/>
  <c r="B9" i="2"/>
  <c r="B10" i="2"/>
  <c r="B11" i="2"/>
  <c r="B2" i="2"/>
</calcChain>
</file>

<file path=xl/sharedStrings.xml><?xml version="1.0" encoding="utf-8"?>
<sst xmlns="http://schemas.openxmlformats.org/spreadsheetml/2006/main" count="661" uniqueCount="194">
  <si>
    <t>date</t>
  </si>
  <si>
    <t>venue</t>
  </si>
  <si>
    <t>team1</t>
  </si>
  <si>
    <t>team2</t>
  </si>
  <si>
    <t>stage</t>
  </si>
  <si>
    <t>match_winner</t>
  </si>
  <si>
    <t>player_of_the_match</t>
  </si>
  <si>
    <t>margin</t>
  </si>
  <si>
    <t>March 22,2025</t>
  </si>
  <si>
    <t>Eden Gardens, Kolkata</t>
  </si>
  <si>
    <t>KKR</t>
  </si>
  <si>
    <t>RCB</t>
  </si>
  <si>
    <t>League</t>
  </si>
  <si>
    <t>Krunal Pandya</t>
  </si>
  <si>
    <t>7 wickets</t>
  </si>
  <si>
    <t>March 23,2025</t>
  </si>
  <si>
    <t>Rajiv Gandhi International Stadium, Hyderabad</t>
  </si>
  <si>
    <t>SRH</t>
  </si>
  <si>
    <t>RR</t>
  </si>
  <si>
    <t>Ishan Kishan</t>
  </si>
  <si>
    <t>44 runs</t>
  </si>
  <si>
    <t>MA Chidambaram Stadium, Chennai</t>
  </si>
  <si>
    <t>CSK</t>
  </si>
  <si>
    <t>MI</t>
  </si>
  <si>
    <t>Noor Ahmad</t>
  </si>
  <si>
    <t>4 wickets</t>
  </si>
  <si>
    <t>March 24,2025</t>
  </si>
  <si>
    <t>ACA-VDCA Cricket Stadium, Vishakhapatnam</t>
  </si>
  <si>
    <t>DC</t>
  </si>
  <si>
    <t>LSG</t>
  </si>
  <si>
    <t>Ashutosh Sharma</t>
  </si>
  <si>
    <t>1 wicket</t>
  </si>
  <si>
    <t>March 25,2025</t>
  </si>
  <si>
    <t>Narendra Modi Stadium, Ahmedabad</t>
  </si>
  <si>
    <t>GT</t>
  </si>
  <si>
    <t>PBKS</t>
  </si>
  <si>
    <t>Shreyas Iyer</t>
  </si>
  <si>
    <t>11 runs</t>
  </si>
  <si>
    <t>March 26,2025</t>
  </si>
  <si>
    <t>Barsapara Stadium, Guwahati</t>
  </si>
  <si>
    <t>Quinton de Kock</t>
  </si>
  <si>
    <t>8 wickets</t>
  </si>
  <si>
    <t>March 27,2025</t>
  </si>
  <si>
    <t>Shardul Thakur</t>
  </si>
  <si>
    <t>5 wickets</t>
  </si>
  <si>
    <t>March 28,2025</t>
  </si>
  <si>
    <t>Rajat Patidar</t>
  </si>
  <si>
    <t>50 runs</t>
  </si>
  <si>
    <t>March 29,2025</t>
  </si>
  <si>
    <t>Prasidh Krishna</t>
  </si>
  <si>
    <t>36 runs</t>
  </si>
  <si>
    <t>March 30,2025</t>
  </si>
  <si>
    <t>Mitchell Starc</t>
  </si>
  <si>
    <t>Nitish Rana</t>
  </si>
  <si>
    <t>6 runs</t>
  </si>
  <si>
    <t>March 31,2025</t>
  </si>
  <si>
    <t>Wankhede Stadium, Mumbai</t>
  </si>
  <si>
    <t>Ashwani Kumar</t>
  </si>
  <si>
    <t>April 01,2025</t>
  </si>
  <si>
    <t>Ekana Cricket Stadium, Lucknow</t>
  </si>
  <si>
    <t>Prabhsimran Singh</t>
  </si>
  <si>
    <t>April 02,2025</t>
  </si>
  <si>
    <t>M. Chinnaswamy Stadium, Bangalore</t>
  </si>
  <si>
    <t>Mohammed Siraj</t>
  </si>
  <si>
    <t>April 03,2025</t>
  </si>
  <si>
    <t>Vaibhav Arora</t>
  </si>
  <si>
    <t>80 runs</t>
  </si>
  <si>
    <t>April 04,2025</t>
  </si>
  <si>
    <t>Digvesh Singh</t>
  </si>
  <si>
    <t>12 runs</t>
  </si>
  <si>
    <t>April 05,2025</t>
  </si>
  <si>
    <t>KL Rahul</t>
  </si>
  <si>
    <t>25 runs</t>
  </si>
  <si>
    <t>New PCA Cricket Stadium, Mullanpur</t>
  </si>
  <si>
    <t>Jofra Archer</t>
  </si>
  <si>
    <t>April 06,2025</t>
  </si>
  <si>
    <t>April 07,2025</t>
  </si>
  <si>
    <t>April 08,2025</t>
  </si>
  <si>
    <t>Nicholas Pooran</t>
  </si>
  <si>
    <t>4 runs</t>
  </si>
  <si>
    <t>Priyansh Arya</t>
  </si>
  <si>
    <t>18 runs</t>
  </si>
  <si>
    <t>April 09,2025</t>
  </si>
  <si>
    <t>Sai Sudarshan</t>
  </si>
  <si>
    <t>58 runs</t>
  </si>
  <si>
    <t>April 10,2025</t>
  </si>
  <si>
    <t>6 wickets</t>
  </si>
  <si>
    <t>April 11,2025</t>
  </si>
  <si>
    <t>Sunil Narine</t>
  </si>
  <si>
    <t>April 12,2025</t>
  </si>
  <si>
    <t>Aiden Markram</t>
  </si>
  <si>
    <t>Abhishek Sharma</t>
  </si>
  <si>
    <t>April 13,2025</t>
  </si>
  <si>
    <t>Sawai Mansingh Stadium, Jaipur</t>
  </si>
  <si>
    <t>Phil Salt</t>
  </si>
  <si>
    <t>9 wickets</t>
  </si>
  <si>
    <t>Arun Jaitley Stadium, Delhi</t>
  </si>
  <si>
    <t>Karn Sharma</t>
  </si>
  <si>
    <t>April 14,2025</t>
  </si>
  <si>
    <t>MS Dhoni</t>
  </si>
  <si>
    <t>April 15,2025</t>
  </si>
  <si>
    <t>Yuzvendra Chahal</t>
  </si>
  <si>
    <t>16 runs</t>
  </si>
  <si>
    <t>April 16,2025</t>
  </si>
  <si>
    <t>April 17,2025</t>
  </si>
  <si>
    <t>Will Jacks</t>
  </si>
  <si>
    <t>April 18,2025</t>
  </si>
  <si>
    <t>Tim David</t>
  </si>
  <si>
    <t>April 19,2025</t>
  </si>
  <si>
    <t>Jos Buttler</t>
  </si>
  <si>
    <t>Avesh Khan</t>
  </si>
  <si>
    <t>2 runs</t>
  </si>
  <si>
    <t>April 20,2025</t>
  </si>
  <si>
    <t>Virat Kohli</t>
  </si>
  <si>
    <t>Rohit Sharma</t>
  </si>
  <si>
    <t>April 21,2025</t>
  </si>
  <si>
    <t>Shubman Gill</t>
  </si>
  <si>
    <t>39 runs</t>
  </si>
  <si>
    <t>April 22,2025</t>
  </si>
  <si>
    <t>Mukesh Kumar</t>
  </si>
  <si>
    <t>April 23,2025</t>
  </si>
  <si>
    <t>Trent Boult</t>
  </si>
  <si>
    <t>April 24,2025</t>
  </si>
  <si>
    <t>Josh Hazlewood</t>
  </si>
  <si>
    <t>April 25,2025</t>
  </si>
  <si>
    <t>Harshal Patel</t>
  </si>
  <si>
    <t>April 26,2025</t>
  </si>
  <si>
    <t>April 27,2025</t>
  </si>
  <si>
    <t>54 runs</t>
  </si>
  <si>
    <t>April 28,2025</t>
  </si>
  <si>
    <t>Vaibhav Suryavanshi</t>
  </si>
  <si>
    <t>April 29,2025</t>
  </si>
  <si>
    <t>14 runs</t>
  </si>
  <si>
    <t>April 30,2025</t>
  </si>
  <si>
    <t>May 1,2025</t>
  </si>
  <si>
    <t>Ryan Rickelton</t>
  </si>
  <si>
    <t>100 runs</t>
  </si>
  <si>
    <t>May 2,2025</t>
  </si>
  <si>
    <t>38 runs</t>
  </si>
  <si>
    <t>May 3,2025</t>
  </si>
  <si>
    <t>Romario Shepherd</t>
  </si>
  <si>
    <t>May 4,2025</t>
  </si>
  <si>
    <t>Andre Russell</t>
  </si>
  <si>
    <t>1 run</t>
  </si>
  <si>
    <t>HPCA Stadium, Dharamshala</t>
  </si>
  <si>
    <t>37 runs</t>
  </si>
  <si>
    <t>May 5,2025</t>
  </si>
  <si>
    <t>May 6,2025</t>
  </si>
  <si>
    <t>3 wickets</t>
  </si>
  <si>
    <t>May 7,2025</t>
  </si>
  <si>
    <t>2 wickets</t>
  </si>
  <si>
    <t>May 17,2025</t>
  </si>
  <si>
    <t>May 18,2025</t>
  </si>
  <si>
    <t>Harpreet Brar</t>
  </si>
  <si>
    <t>10 runs</t>
  </si>
  <si>
    <t>10 wickets</t>
  </si>
  <si>
    <t>May 19,2025</t>
  </si>
  <si>
    <t>May 20,2025</t>
  </si>
  <si>
    <t>Akash Madhwal</t>
  </si>
  <si>
    <t>May 21,2025</t>
  </si>
  <si>
    <t>Suryakumar Yadav</t>
  </si>
  <si>
    <t>59 runs</t>
  </si>
  <si>
    <t>May 22,2025</t>
  </si>
  <si>
    <t>Mitchell Marsh</t>
  </si>
  <si>
    <t>33 runs</t>
  </si>
  <si>
    <t>May 23,2025</t>
  </si>
  <si>
    <t>42 runs</t>
  </si>
  <si>
    <t>May 24,2025</t>
  </si>
  <si>
    <t>Sameer Rizvi</t>
  </si>
  <si>
    <t>May 25,2025</t>
  </si>
  <si>
    <t>Dewald Brevis</t>
  </si>
  <si>
    <t>83 runs</t>
  </si>
  <si>
    <t>Heinrich Klassen</t>
  </si>
  <si>
    <t>110 runs</t>
  </si>
  <si>
    <t>May 26,2025</t>
  </si>
  <si>
    <t>Josh Inglis</t>
  </si>
  <si>
    <t>May 27,2025</t>
  </si>
  <si>
    <t>Jitesh Sharma</t>
  </si>
  <si>
    <t>May 29,2025</t>
  </si>
  <si>
    <t>Playoffs</t>
  </si>
  <si>
    <t>Suyash Sharma</t>
  </si>
  <si>
    <t>May 30,2025</t>
  </si>
  <si>
    <t>20 runs</t>
  </si>
  <si>
    <t>June 1,2025</t>
  </si>
  <si>
    <t>June 3,2025</t>
  </si>
  <si>
    <t>Final</t>
  </si>
  <si>
    <t>Team</t>
  </si>
  <si>
    <t>Matches Played</t>
  </si>
  <si>
    <t>Matches won</t>
  </si>
  <si>
    <t>win%</t>
  </si>
  <si>
    <t>(blank)</t>
  </si>
  <si>
    <t>Grand Total</t>
  </si>
  <si>
    <t>player of the match</t>
  </si>
  <si>
    <t>Count of player_of_the_match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</si>
</sst>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16" fillId="0" borderId="0" xfId="0" applyFont="1"/>
    <xf numFmtId="10" fontId="0" fillId="0" borderId="0" xfId="42" applyNumberFormat="1" applyFont="1"/>
    <xf numFmtId="0" fontId="0" fillId="0" borderId="0" xfId="0" pivotButton="1"/>
    <xf numFmtId="0" fontId="0" fillId="0" borderId="0" xfId="0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[ipl_2025_Analysis.xlsx]Sheet1!PivotTable1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Sheet1!$A$4:$A$58</c:f>
              <c:strCache>
                <c:ptCount val="54"/>
                <c:pt idx="0">
                  <c:v>Shreyas Iyer</c:v>
                </c:pt>
                <c:pt idx="1">
                  <c:v>Krunal Pandya</c:v>
                </c:pt>
                <c:pt idx="2">
                  <c:v>Rohit Sharma</c:v>
                </c:pt>
                <c:pt idx="3">
                  <c:v>Sunil Narine</c:v>
                </c:pt>
                <c:pt idx="4">
                  <c:v>Ishan Kishan</c:v>
                </c:pt>
                <c:pt idx="5">
                  <c:v>Prabhsimran Singh</c:v>
                </c:pt>
                <c:pt idx="6">
                  <c:v>KL Rahul</c:v>
                </c:pt>
                <c:pt idx="7">
                  <c:v>Prasidh Krishna</c:v>
                </c:pt>
                <c:pt idx="8">
                  <c:v>Rajat Patidar</c:v>
                </c:pt>
                <c:pt idx="9">
                  <c:v>Mitchell Starc</c:v>
                </c:pt>
                <c:pt idx="10">
                  <c:v>Sai Sudarshan</c:v>
                </c:pt>
                <c:pt idx="11">
                  <c:v>Will Jacks</c:v>
                </c:pt>
                <c:pt idx="12">
                  <c:v>Shubman Gill</c:v>
                </c:pt>
                <c:pt idx="13">
                  <c:v>Abhishek Sharma</c:v>
                </c:pt>
                <c:pt idx="14">
                  <c:v>Noor Ahmad</c:v>
                </c:pt>
                <c:pt idx="15">
                  <c:v>Mohammed Siraj</c:v>
                </c:pt>
                <c:pt idx="16">
                  <c:v>Trent Boult</c:v>
                </c:pt>
                <c:pt idx="17">
                  <c:v>Sameer Rizvi</c:v>
                </c:pt>
                <c:pt idx="18">
                  <c:v>Heinrich Klassen</c:v>
                </c:pt>
                <c:pt idx="19">
                  <c:v>Josh Inglis</c:v>
                </c:pt>
                <c:pt idx="20">
                  <c:v>Jos Buttler</c:v>
                </c:pt>
                <c:pt idx="21">
                  <c:v>Karn Sharma</c:v>
                </c:pt>
                <c:pt idx="22">
                  <c:v>Quinton de Kock</c:v>
                </c:pt>
                <c:pt idx="23">
                  <c:v>Akash Madhwal</c:v>
                </c:pt>
                <c:pt idx="24">
                  <c:v>Ryan Rickelton</c:v>
                </c:pt>
                <c:pt idx="25">
                  <c:v>Andre Russell</c:v>
                </c:pt>
                <c:pt idx="26">
                  <c:v>Jitesh Sharma</c:v>
                </c:pt>
                <c:pt idx="27">
                  <c:v>Mitchell Marsh</c:v>
                </c:pt>
                <c:pt idx="28">
                  <c:v>Suyash Sharma</c:v>
                </c:pt>
                <c:pt idx="29">
                  <c:v>Ashutosh Sharma</c:v>
                </c:pt>
                <c:pt idx="30">
                  <c:v>Priyansh Arya</c:v>
                </c:pt>
                <c:pt idx="31">
                  <c:v>Vaibhav Arora</c:v>
                </c:pt>
                <c:pt idx="32">
                  <c:v>Harshal Patel</c:v>
                </c:pt>
                <c:pt idx="33">
                  <c:v>Vaibhav Suryavanshi</c:v>
                </c:pt>
                <c:pt idx="34">
                  <c:v>Romario Shepherd</c:v>
                </c:pt>
                <c:pt idx="35">
                  <c:v>Ashwani Kumar</c:v>
                </c:pt>
                <c:pt idx="36">
                  <c:v>Aiden Markram</c:v>
                </c:pt>
                <c:pt idx="37">
                  <c:v>Avesh Khan</c:v>
                </c:pt>
                <c:pt idx="38">
                  <c:v>Shardul Thakur</c:v>
                </c:pt>
                <c:pt idx="39">
                  <c:v>Nitish Rana</c:v>
                </c:pt>
                <c:pt idx="40">
                  <c:v>Jofra Archer</c:v>
                </c:pt>
                <c:pt idx="41">
                  <c:v>Dewald Brevis</c:v>
                </c:pt>
                <c:pt idx="42">
                  <c:v>Suryakumar Yadav</c:v>
                </c:pt>
                <c:pt idx="43">
                  <c:v>Phil Salt</c:v>
                </c:pt>
                <c:pt idx="44">
                  <c:v>Tim David</c:v>
                </c:pt>
                <c:pt idx="45">
                  <c:v>Digvesh Singh</c:v>
                </c:pt>
                <c:pt idx="46">
                  <c:v>Josh Hazlewood</c:v>
                </c:pt>
                <c:pt idx="47">
                  <c:v>Harpreet Brar</c:v>
                </c:pt>
                <c:pt idx="48">
                  <c:v>Virat Kohli</c:v>
                </c:pt>
                <c:pt idx="49">
                  <c:v>MS Dhoni</c:v>
                </c:pt>
                <c:pt idx="50">
                  <c:v>Yuzvendra Chahal</c:v>
                </c:pt>
                <c:pt idx="51">
                  <c:v>Mukesh Kumar</c:v>
                </c:pt>
                <c:pt idx="52">
                  <c:v>Nicholas Pooran</c:v>
                </c:pt>
                <c:pt idx="53">
                  <c:v>(blank)</c:v>
                </c:pt>
              </c:strCache>
            </c:strRef>
          </c:cat>
          <c:val>
            <c:numRef>
              <c:f>Sheet1!$B$4:$B$58</c:f>
              <c:numCache>
                <c:formatCode>General</c:formatCode>
                <c:ptCount val="54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EA-41B9-BCC5-66228F06D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74821088"/>
        <c:axId val="1437569040"/>
      </c:barChart>
      <c:catAx>
        <c:axId val="1874821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7569040"/>
        <c:crosses val="autoZero"/>
        <c:auto val="1"/>
        <c:lblAlgn val="ctr"/>
        <c:lblOffset val="100"/>
        <c:noMultiLvlLbl val="0"/>
      </c:catAx>
      <c:valAx>
        <c:axId val="143756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4821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IPL</a:t>
            </a:r>
            <a:r>
              <a:rPr lang="en-IN" baseline="0"/>
              <a:t> 2025 Team Win Percentag</a:t>
            </a:r>
            <a:r>
              <a:rPr lang="en-IN"/>
              <a:t>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'Team Analysis'!$A$2:$A$11</c:f>
              <c:strCache>
                <c:ptCount val="10"/>
                <c:pt idx="0">
                  <c:v>CSK</c:v>
                </c:pt>
                <c:pt idx="1">
                  <c:v>DC</c:v>
                </c:pt>
                <c:pt idx="2">
                  <c:v>GT</c:v>
                </c:pt>
                <c:pt idx="3">
                  <c:v>KKR</c:v>
                </c:pt>
                <c:pt idx="4">
                  <c:v>LSG</c:v>
                </c:pt>
                <c:pt idx="5">
                  <c:v>MI</c:v>
                </c:pt>
                <c:pt idx="6">
                  <c:v>PBKS</c:v>
                </c:pt>
                <c:pt idx="7">
                  <c:v>RCB</c:v>
                </c:pt>
                <c:pt idx="8">
                  <c:v>RR</c:v>
                </c:pt>
                <c:pt idx="9">
                  <c:v>SRH</c:v>
                </c:pt>
              </c:strCache>
            </c:strRef>
          </c:cat>
          <c:val>
            <c:numRef>
              <c:f>'Team Analysis'!$D$2:$D$11</c:f>
              <c:numCache>
                <c:formatCode>0.00%</c:formatCode>
                <c:ptCount val="10"/>
                <c:pt idx="0">
                  <c:v>0.2857142857142857</c:v>
                </c:pt>
                <c:pt idx="1">
                  <c:v>0.5714285714285714</c:v>
                </c:pt>
                <c:pt idx="2">
                  <c:v>0.6</c:v>
                </c:pt>
                <c:pt idx="3">
                  <c:v>0.35714285714285715</c:v>
                </c:pt>
                <c:pt idx="4">
                  <c:v>0.42857142857142855</c:v>
                </c:pt>
                <c:pt idx="5">
                  <c:v>0.5</c:v>
                </c:pt>
                <c:pt idx="6">
                  <c:v>0.6470588235294118</c:v>
                </c:pt>
                <c:pt idx="7">
                  <c:v>0.625</c:v>
                </c:pt>
                <c:pt idx="8">
                  <c:v>0.2857142857142857</c:v>
                </c:pt>
                <c:pt idx="9">
                  <c:v>0.42857142857142855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7B-46BD-9639-A62E058F03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9850784"/>
        <c:axId val="824055568"/>
      </c:barChart>
      <c:catAx>
        <c:axId val="1299850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055568"/>
        <c:crosses val="autoZero"/>
        <c:auto val="1"/>
        <c:lblAlgn val="ctr"/>
        <c:lblOffset val="100"/>
        <c:noMultiLvlLbl val="0"/>
      </c:catAx>
      <c:valAx>
        <c:axId val="82405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9850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53346</xdr:colOff>
      <xdr:row>3</xdr:row>
      <xdr:rowOff>110490</xdr:rowOff>
    </xdr:from>
    <xdr:to>
      <xdr:col>10</xdr:col>
      <xdr:colOff>358146</xdr:colOff>
      <xdr:row>18</xdr:row>
      <xdr:rowOff>110490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23CB58-E037-B55D-86DD-A46E6BE4C5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525780</xdr:colOff>
      <xdr:row>15</xdr:row>
      <xdr:rowOff>7620</xdr:rowOff>
    </xdr:from>
    <xdr:to>
      <xdr:col>3</xdr:col>
      <xdr:colOff>1363980</xdr:colOff>
      <xdr:row>28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385C11-5D3C-CD63-A605-0BB602FB4E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rumalla Akshaya" refreshedDate="46250.787311805558" createdVersion="8" refreshedVersion="8" minRefreshableVersion="3" recordCount="74" xr:uid="{DAAF24B9-3158-45D6-9B25-EAC1930F8FC3}">
  <cacheSource type="worksheet">
    <worksheetSource ref="A1:H75" sheet="ipl_2026_analysis"/>
  </cacheSource>
  <cacheFields count="8">
    <cacheField name="date" numFmtId="0">
      <sharedItems/>
    </cacheField>
    <cacheField name="venue" numFmtId="0">
      <sharedItems/>
    </cacheField>
    <cacheField name="team1" numFmtId="0">
      <sharedItems/>
    </cacheField>
    <cacheField name="team2" numFmtId="0">
      <sharedItems/>
    </cacheField>
    <cacheField name="stage" numFmtId="0">
      <sharedItems/>
    </cacheField>
    <cacheField name="match_winner" numFmtId="0">
      <sharedItems containsBlank="1"/>
    </cacheField>
    <cacheField name="player_of_the_match" numFmtId="0">
      <sharedItems containsBlank="1" count="54">
        <s v="Krunal Pandya"/>
        <s v="Ishan Kishan"/>
        <s v="Noor Ahmad"/>
        <s v="Ashutosh Sharma"/>
        <s v="Shreyas Iyer"/>
        <s v="Quinton de Kock"/>
        <s v="Shardul Thakur"/>
        <s v="Rajat Patidar"/>
        <s v="Prasidh Krishna"/>
        <s v="Mitchell Starc"/>
        <s v="Nitish Rana"/>
        <s v="Ashwani Kumar"/>
        <s v="Prabhsimran Singh"/>
        <s v="Mohammed Siraj"/>
        <s v="Vaibhav Arora"/>
        <s v="Digvesh Singh"/>
        <s v="KL Rahul"/>
        <s v="Jofra Archer"/>
        <s v="Nicholas Pooran"/>
        <s v="Priyansh Arya"/>
        <s v="Sai Sudarshan"/>
        <s v="Sunil Narine"/>
        <s v="Aiden Markram"/>
        <s v="Abhishek Sharma"/>
        <s v="Phil Salt"/>
        <s v="Karn Sharma"/>
        <s v="MS Dhoni"/>
        <s v="Yuzvendra Chahal"/>
        <s v="Will Jacks"/>
        <s v="Tim David"/>
        <s v="Jos Buttler"/>
        <s v="Avesh Khan"/>
        <s v="Virat Kohli"/>
        <s v="Rohit Sharma"/>
        <s v="Shubman Gill"/>
        <s v="Mukesh Kumar"/>
        <s v="Trent Boult"/>
        <s v="Josh Hazlewood"/>
        <s v="Harshal Patel"/>
        <m/>
        <s v="Vaibhav Suryavanshi"/>
        <s v="Ryan Rickelton"/>
        <s v="Romario Shepherd"/>
        <s v="Andre Russell"/>
        <s v="Harpreet Brar"/>
        <s v="Akash Madhwal"/>
        <s v="Suryakumar Yadav"/>
        <s v="Mitchell Marsh"/>
        <s v="Sameer Rizvi"/>
        <s v="Dewald Brevis"/>
        <s v="Heinrich Klassen"/>
        <s v="Josh Inglis"/>
        <s v="Jitesh Sharma"/>
        <s v="Suyash Sharma"/>
      </sharedItems>
    </cacheField>
    <cacheField name="margi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">
  <r>
    <s v="March 22,2025"/>
    <s v="Eden Gardens, Kolkata"/>
    <s v="KKR"/>
    <s v="RCB"/>
    <s v="League"/>
    <s v="RCB"/>
    <x v="0"/>
    <s v="7 wickets"/>
  </r>
  <r>
    <s v="March 23,2025"/>
    <s v="Rajiv Gandhi International Stadium, Hyderabad"/>
    <s v="SRH"/>
    <s v="RR"/>
    <s v="League"/>
    <s v="SRH"/>
    <x v="1"/>
    <s v="44 runs"/>
  </r>
  <r>
    <s v="March 23,2025"/>
    <s v="MA Chidambaram Stadium, Chennai"/>
    <s v="CSK"/>
    <s v="MI"/>
    <s v="League"/>
    <s v="CSK"/>
    <x v="2"/>
    <s v="4 wickets"/>
  </r>
  <r>
    <s v="March 24,2025"/>
    <s v="ACA-VDCA Cricket Stadium, Vishakhapatnam"/>
    <s v="DC"/>
    <s v="LSG"/>
    <s v="League"/>
    <s v="DC"/>
    <x v="3"/>
    <s v="1 wicket"/>
  </r>
  <r>
    <s v="March 25,2025"/>
    <s v="Narendra Modi Stadium, Ahmedabad"/>
    <s v="GT"/>
    <s v="PBKS"/>
    <s v="League"/>
    <s v="PBKS"/>
    <x v="4"/>
    <s v="11 runs"/>
  </r>
  <r>
    <s v="March 26,2025"/>
    <s v="Barsapara Stadium, Guwahati"/>
    <s v="RR"/>
    <s v="KKR"/>
    <s v="League"/>
    <s v="KKR"/>
    <x v="5"/>
    <s v="8 wickets"/>
  </r>
  <r>
    <s v="March 27,2025"/>
    <s v="Rajiv Gandhi International Stadium, Hyderabad"/>
    <s v="SRH"/>
    <s v="LSG"/>
    <s v="League"/>
    <s v="LSG"/>
    <x v="6"/>
    <s v="5 wickets"/>
  </r>
  <r>
    <s v="March 28,2025"/>
    <s v="MA Chidambaram Stadium, Chennai"/>
    <s v="CSK"/>
    <s v="RCB"/>
    <s v="League"/>
    <s v="RCB"/>
    <x v="7"/>
    <s v="50 runs"/>
  </r>
  <r>
    <s v="March 29,2025"/>
    <s v="Narendra Modi Stadium, Ahmedabad"/>
    <s v="GT"/>
    <s v="MI"/>
    <s v="League"/>
    <s v="GT"/>
    <x v="8"/>
    <s v="36 runs"/>
  </r>
  <r>
    <s v="March 30,2025"/>
    <s v="ACA-VDCA Cricket Stadium, Vishakhapatnam"/>
    <s v="DC"/>
    <s v="SRH"/>
    <s v="League"/>
    <s v="DC"/>
    <x v="9"/>
    <s v="7 wickets"/>
  </r>
  <r>
    <s v="March 30,2025"/>
    <s v="Barsapara Stadium, Guwahati"/>
    <s v="RR"/>
    <s v="CSK"/>
    <s v="League"/>
    <s v="RR"/>
    <x v="10"/>
    <s v="6 runs"/>
  </r>
  <r>
    <s v="March 31,2025"/>
    <s v="Wankhede Stadium, Mumbai"/>
    <s v="MI"/>
    <s v="KKR"/>
    <s v="League"/>
    <s v="MI"/>
    <x v="11"/>
    <s v="8 wickets"/>
  </r>
  <r>
    <s v="April 01,2025"/>
    <s v="Ekana Cricket Stadium, Lucknow"/>
    <s v="LSG"/>
    <s v="PBKS"/>
    <s v="League"/>
    <s v="PBKS"/>
    <x v="12"/>
    <s v="8 wickets"/>
  </r>
  <r>
    <s v="April 02,2025"/>
    <s v="M. Chinnaswamy Stadium, Bangalore"/>
    <s v="RCB"/>
    <s v="GT"/>
    <s v="League"/>
    <s v="GT"/>
    <x v="13"/>
    <s v="8 wickets"/>
  </r>
  <r>
    <s v="April 03,2025"/>
    <s v="Eden Gardens, Kolkata"/>
    <s v="KKR"/>
    <s v="SRH"/>
    <s v="League"/>
    <s v="KKR"/>
    <x v="14"/>
    <s v="80 runs"/>
  </r>
  <r>
    <s v="April 04,2025"/>
    <s v="Ekana Cricket Stadium, Lucknow"/>
    <s v="LSG"/>
    <s v="MI"/>
    <s v="League"/>
    <s v="LSG"/>
    <x v="15"/>
    <s v="12 runs"/>
  </r>
  <r>
    <s v="April 05,2025"/>
    <s v="MA Chidambaram Stadium, Chennai"/>
    <s v="CSK"/>
    <s v="DC"/>
    <s v="League"/>
    <s v="DC"/>
    <x v="16"/>
    <s v="25 runs"/>
  </r>
  <r>
    <s v="April 05,2025"/>
    <s v="New PCA Cricket Stadium, Mullanpur"/>
    <s v="PBKS"/>
    <s v="RR"/>
    <s v="League"/>
    <s v="RR"/>
    <x v="17"/>
    <s v="50 runs"/>
  </r>
  <r>
    <s v="April 06,2025"/>
    <s v="Rajiv Gandhi International Stadium, Hyderabad"/>
    <s v="SRH"/>
    <s v="GT"/>
    <s v="League"/>
    <s v="GT"/>
    <x v="13"/>
    <s v="7 wickets"/>
  </r>
  <r>
    <s v="April 07,2025"/>
    <s v="Wankhede Stadium, Mumbai"/>
    <s v="MI"/>
    <s v="RCB"/>
    <s v="League"/>
    <s v="RCB"/>
    <x v="7"/>
    <s v="12 runs"/>
  </r>
  <r>
    <s v="April 08,2025"/>
    <s v="Eden Gardens, Kolkata"/>
    <s v="KKR"/>
    <s v="LSG"/>
    <s v="League"/>
    <s v="LSG"/>
    <x v="18"/>
    <s v="4 runs"/>
  </r>
  <r>
    <s v="April 08,2025"/>
    <s v="New PCA Cricket Stadium, Mullanpur"/>
    <s v="PBKS"/>
    <s v="CSK"/>
    <s v="League"/>
    <s v="PBKS"/>
    <x v="19"/>
    <s v="18 runs"/>
  </r>
  <r>
    <s v="April 09,2025"/>
    <s v="Narendra Modi Stadium, Ahmedabad"/>
    <s v="GT"/>
    <s v="RR"/>
    <s v="League"/>
    <s v="GT"/>
    <x v="20"/>
    <s v="58 runs"/>
  </r>
  <r>
    <s v="April 10,2025"/>
    <s v="M. Chinnaswamy Stadium, Bangalore"/>
    <s v="RCB"/>
    <s v="DC"/>
    <s v="League"/>
    <s v="DC"/>
    <x v="16"/>
    <s v="6 wickets"/>
  </r>
  <r>
    <s v="April 11,2025"/>
    <s v="MA Chidambaram Stadium, Chennai"/>
    <s v="CSK"/>
    <s v="KKR"/>
    <s v="League"/>
    <s v="KKR"/>
    <x v="21"/>
    <s v="8 wickets"/>
  </r>
  <r>
    <s v="April 12,2025"/>
    <s v="Ekana Cricket Stadium, Lucknow"/>
    <s v="LSG"/>
    <s v="GT"/>
    <s v="League"/>
    <s v="LSG"/>
    <x v="22"/>
    <s v="6 wickets"/>
  </r>
  <r>
    <s v="April 12,2025"/>
    <s v="Rajiv Gandhi International Stadium, Hyderabad"/>
    <s v="SRH"/>
    <s v="PBKS"/>
    <s v="League"/>
    <s v="SRH"/>
    <x v="23"/>
    <s v="8 wickets"/>
  </r>
  <r>
    <s v="April 13,2025"/>
    <s v="Sawai Mansingh Stadium, Jaipur"/>
    <s v="RR"/>
    <s v="RCB"/>
    <s v="League"/>
    <s v="RCB"/>
    <x v="24"/>
    <s v="9 wickets"/>
  </r>
  <r>
    <s v="April 13,2025"/>
    <s v="Arun Jaitley Stadium, Delhi"/>
    <s v="DC"/>
    <s v="MI"/>
    <s v="League"/>
    <s v="DC"/>
    <x v="25"/>
    <s v="12 runs"/>
  </r>
  <r>
    <s v="April 14,2025"/>
    <s v="Ekana Cricket Stadium, Lucknow"/>
    <s v="LSG"/>
    <s v="CSK"/>
    <s v="League"/>
    <s v="CSK"/>
    <x v="26"/>
    <s v="5 wickets"/>
  </r>
  <r>
    <s v="April 15,2025"/>
    <s v="New PCA Cricket Stadium, Mullanpur"/>
    <s v="PBKS"/>
    <s v="KKR"/>
    <s v="League"/>
    <s v="PBKS"/>
    <x v="27"/>
    <s v="16 runs"/>
  </r>
  <r>
    <s v="April 16,2025"/>
    <s v="Arun Jaitley Stadium, Delhi"/>
    <s v="DC"/>
    <s v="RR"/>
    <s v="League"/>
    <s v="DC"/>
    <x v="9"/>
    <m/>
  </r>
  <r>
    <s v="April 17,2025"/>
    <s v="Wankhede Stadium, Mumbai"/>
    <s v="MI"/>
    <s v="SRH"/>
    <s v="League"/>
    <s v="MI"/>
    <x v="28"/>
    <s v="4 wickets"/>
  </r>
  <r>
    <s v="April 18,2025"/>
    <s v="M. Chinnaswamy Stadium, Bangalore"/>
    <s v="RCB"/>
    <s v="PBKS"/>
    <s v="League"/>
    <s v="PBKS"/>
    <x v="29"/>
    <s v="5 wickets"/>
  </r>
  <r>
    <s v="April 19,2025"/>
    <s v="Narendra Modi Stadium, Ahmedabad"/>
    <s v="GT"/>
    <s v="DC"/>
    <s v="League"/>
    <s v="GT"/>
    <x v="30"/>
    <s v="7 wickets"/>
  </r>
  <r>
    <s v="April 19,2025"/>
    <s v="Sawai Mansingh Stadium, Jaipur"/>
    <s v="RR"/>
    <s v="LSG"/>
    <s v="League"/>
    <s v="LSG"/>
    <x v="31"/>
    <s v="2 runs"/>
  </r>
  <r>
    <s v="April 20,2025"/>
    <s v="New PCA Cricket Stadium, Mullanpur"/>
    <s v="PBKS"/>
    <s v="RCB"/>
    <s v="League"/>
    <s v="PBKS"/>
    <x v="32"/>
    <s v="7 wickets"/>
  </r>
  <r>
    <s v="April 20,2025"/>
    <s v="Wankhede Stadium, Mumbai"/>
    <s v="MI"/>
    <s v="CSK"/>
    <s v="League"/>
    <s v="MI"/>
    <x v="33"/>
    <s v="9 wickets"/>
  </r>
  <r>
    <s v="April 21,2025"/>
    <s v="Eden Gardens, Kolkata"/>
    <s v="KKR"/>
    <s v="GT"/>
    <s v="League"/>
    <s v="GT"/>
    <x v="34"/>
    <s v="39 runs"/>
  </r>
  <r>
    <s v="April 22,2025"/>
    <s v="Ekana Cricket Stadium, Lucknow"/>
    <s v="LSG"/>
    <s v="DC"/>
    <s v="League"/>
    <s v="DC"/>
    <x v="35"/>
    <s v="8 wickets"/>
  </r>
  <r>
    <s v="April 23,2025"/>
    <s v="Rajiv Gandhi International Stadium, Hyderabad"/>
    <s v="SRH"/>
    <s v="MI"/>
    <s v="League"/>
    <s v="MI"/>
    <x v="36"/>
    <s v="7 wickets"/>
  </r>
  <r>
    <s v="April 24,2025"/>
    <s v="M. Chinnaswamy Stadium, Bangalore"/>
    <s v="RCB"/>
    <s v="RR"/>
    <s v="League"/>
    <s v="RCB"/>
    <x v="37"/>
    <s v="11 runs"/>
  </r>
  <r>
    <s v="April 25,2025"/>
    <s v="MA Chidambaram Stadium, Chennai"/>
    <s v="CSK"/>
    <s v="SRH"/>
    <s v="League"/>
    <s v="SRH"/>
    <x v="38"/>
    <s v="5 wickets"/>
  </r>
  <r>
    <s v="April 26,2025"/>
    <s v="Eden Gardens, Kolkata"/>
    <s v="KKR"/>
    <s v="PBKS"/>
    <s v="League"/>
    <m/>
    <x v="39"/>
    <m/>
  </r>
  <r>
    <s v="April 27,2025"/>
    <s v="Wankhede Stadium, Mumbai"/>
    <s v="MI"/>
    <s v="LSG"/>
    <s v="League"/>
    <s v="MI"/>
    <x v="28"/>
    <s v="54 runs"/>
  </r>
  <r>
    <s v="April 27,2025"/>
    <s v="Arun Jaitley Stadium, Delhi"/>
    <s v="DC"/>
    <s v="RCB"/>
    <s v="League"/>
    <s v="RCB"/>
    <x v="0"/>
    <s v="6 wickets"/>
  </r>
  <r>
    <s v="April 28,2025"/>
    <s v="Sawai Mansingh Stadium, Jaipur"/>
    <s v="RR"/>
    <s v="GT"/>
    <s v="League"/>
    <s v="RR"/>
    <x v="40"/>
    <s v="8 wickets"/>
  </r>
  <r>
    <s v="April 29,2025"/>
    <s v="Arun Jaitley Stadium, Delhi"/>
    <s v="DC"/>
    <s v="KKR"/>
    <s v="League"/>
    <s v="KKR"/>
    <x v="21"/>
    <s v="14 runs"/>
  </r>
  <r>
    <s v="April 30,2025"/>
    <s v="MA Chidambaram Stadium, Chennai"/>
    <s v="CSK"/>
    <s v="PBKS"/>
    <s v="League"/>
    <s v="PBKS"/>
    <x v="4"/>
    <s v="4 wickets"/>
  </r>
  <r>
    <s v="May 1,2025"/>
    <s v="Sawai Mansingh Stadium, Jaipur"/>
    <s v="RR"/>
    <s v="MI"/>
    <s v="League"/>
    <s v="MI"/>
    <x v="41"/>
    <s v="100 runs"/>
  </r>
  <r>
    <s v="May 2,2025"/>
    <s v="Narendra Modi Stadium, Ahmedabad"/>
    <s v="GT"/>
    <s v="SRH"/>
    <s v="League"/>
    <s v="GT"/>
    <x v="8"/>
    <s v="38 runs"/>
  </r>
  <r>
    <s v="May 3,2025"/>
    <s v="M. Chinnaswamy Stadium, Bangalore"/>
    <s v="RCB"/>
    <s v="CSK"/>
    <s v="League"/>
    <s v="RCB"/>
    <x v="42"/>
    <s v="2 runs"/>
  </r>
  <r>
    <s v="May 4,2025"/>
    <s v="Eden Gardens, Kolkata"/>
    <s v="KKR"/>
    <s v="RR"/>
    <s v="League"/>
    <s v="KKR"/>
    <x v="43"/>
    <s v="1 run"/>
  </r>
  <r>
    <s v="May 4,2025"/>
    <s v="HPCA Stadium, Dharamshala"/>
    <s v="PBKS"/>
    <s v="LSG"/>
    <s v="League"/>
    <s v="PBKS"/>
    <x v="12"/>
    <s v="37 runs"/>
  </r>
  <r>
    <s v="May 5,2025"/>
    <s v="Rajiv Gandhi International Stadium, Hyderabad"/>
    <s v="SRH"/>
    <s v="DC"/>
    <s v="League"/>
    <m/>
    <x v="39"/>
    <m/>
  </r>
  <r>
    <s v="May 6,2025"/>
    <s v="Wankhede Stadium, Mumbai"/>
    <s v="MI"/>
    <s v="GT"/>
    <s v="League"/>
    <s v="GT"/>
    <x v="34"/>
    <s v="3 wickets"/>
  </r>
  <r>
    <s v="May 7,2025"/>
    <s v="Eden Gardens, Kolkata"/>
    <s v="KKR"/>
    <s v="CSK"/>
    <s v="League"/>
    <s v="CSK"/>
    <x v="2"/>
    <s v="2 wickets"/>
  </r>
  <r>
    <s v="May 17,2025"/>
    <s v="M. Chinnaswamy Stadium, Bangalore"/>
    <s v="RCB"/>
    <s v="KKR"/>
    <s v="League"/>
    <m/>
    <x v="39"/>
    <m/>
  </r>
  <r>
    <s v="May 18,2025"/>
    <s v="Sawai Mansingh Stadium, Jaipur"/>
    <s v="RR"/>
    <s v="PBKS"/>
    <s v="League"/>
    <s v="PBKS"/>
    <x v="44"/>
    <s v="10 runs"/>
  </r>
  <r>
    <s v="May 18,2025"/>
    <s v="Arun Jaitley Stadium, Delhi"/>
    <s v="DC"/>
    <s v="GT"/>
    <s v="League"/>
    <s v="GT"/>
    <x v="20"/>
    <s v="10 wickets"/>
  </r>
  <r>
    <s v="May 19,2025"/>
    <s v="Ekana Cricket Stadium, Lucknow"/>
    <s v="LSG"/>
    <s v="SRH"/>
    <s v="League"/>
    <s v="SRH"/>
    <x v="23"/>
    <s v="6 wickets"/>
  </r>
  <r>
    <s v="May 20,2025"/>
    <s v="Arun Jaitley Stadium, Delhi"/>
    <s v="CSK"/>
    <s v="RR"/>
    <s v="League"/>
    <s v="RR"/>
    <x v="45"/>
    <s v="6 wickets"/>
  </r>
  <r>
    <s v="May 21,2025"/>
    <s v="Wankhede Stadium, Mumbai"/>
    <s v="MI"/>
    <s v="DC"/>
    <s v="League"/>
    <s v="MI"/>
    <x v="46"/>
    <s v="59 runs"/>
  </r>
  <r>
    <s v="May 22,2025"/>
    <s v="Narendra Modi Stadium, Ahmedabad"/>
    <s v="GT"/>
    <s v="LSG"/>
    <s v="League"/>
    <s v="LSG"/>
    <x v="47"/>
    <s v="33 runs"/>
  </r>
  <r>
    <s v="May 23,2025"/>
    <s v="Ekana Cricket Stadium, Lucknow"/>
    <s v="RCB"/>
    <s v="SRH"/>
    <s v="League"/>
    <s v="SRH"/>
    <x v="1"/>
    <s v="42 runs"/>
  </r>
  <r>
    <s v="May 24,2025"/>
    <s v="Sawai Mansingh Stadium, Jaipur"/>
    <s v="PBKS"/>
    <s v="DC"/>
    <s v="League"/>
    <s v="DC"/>
    <x v="48"/>
    <s v="6 wickets"/>
  </r>
  <r>
    <s v="May 25,2025"/>
    <s v="Narendra Modi Stadium, Ahmedabad"/>
    <s v="GT"/>
    <s v="CSK"/>
    <s v="League"/>
    <s v="CSK"/>
    <x v="49"/>
    <s v="83 runs"/>
  </r>
  <r>
    <s v="May 25,2025"/>
    <s v="Arun Jaitley Stadium, Delhi"/>
    <s v="KKR"/>
    <s v="SRH"/>
    <s v="League"/>
    <s v="SRH"/>
    <x v="50"/>
    <s v="110 runs"/>
  </r>
  <r>
    <s v="May 26,2025"/>
    <s v="Sawai Mansingh Stadium, Jaipur"/>
    <s v="PBKS"/>
    <s v="MI"/>
    <s v="League"/>
    <s v="PBKS"/>
    <x v="51"/>
    <s v="7 wickets"/>
  </r>
  <r>
    <s v="May 27,2025"/>
    <s v="Ekana Cricket Stadium, Lucknow"/>
    <s v="LSG"/>
    <s v="RCB"/>
    <s v="League"/>
    <s v="RCB"/>
    <x v="52"/>
    <s v="6 wickets"/>
  </r>
  <r>
    <s v="May 29,2025"/>
    <s v="New PCA Cricket Stadium, Mullanpur"/>
    <s v="PBKS"/>
    <s v="RCB"/>
    <s v="Playoffs"/>
    <s v="RCB"/>
    <x v="53"/>
    <s v="8 wickets"/>
  </r>
  <r>
    <s v="May 30,2025"/>
    <s v="New PCA Cricket Stadium, Mullanpur"/>
    <s v="GT"/>
    <s v="MI"/>
    <s v="Playoffs"/>
    <s v="MI"/>
    <x v="33"/>
    <s v="20 runs"/>
  </r>
  <r>
    <s v="June 1,2025"/>
    <s v="Narendra Modi Stadium, Ahmedabad"/>
    <s v="PBKS"/>
    <s v="MI"/>
    <s v="Playoffs"/>
    <s v="PBKS"/>
    <x v="4"/>
    <s v="5 wickets"/>
  </r>
  <r>
    <s v="June 3,2025"/>
    <s v="Narendra Modi Stadium, Ahmedabad"/>
    <s v="RCB"/>
    <s v="PBKS"/>
    <s v="Final"/>
    <s v="RCB"/>
    <x v="0"/>
    <s v="6 run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947246-2BB0-4E18-A319-C3CD17B231C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player of the match">
  <location ref="A3:B58" firstHeaderRow="1" firstDataRow="1" firstDataCol="1"/>
  <pivotFields count="8">
    <pivotField showAll="0"/>
    <pivotField showAll="0"/>
    <pivotField showAll="0"/>
    <pivotField showAll="0"/>
    <pivotField showAll="0"/>
    <pivotField showAll="0"/>
    <pivotField axis="axisRow" dataField="1" showAll="0" sortType="descending">
      <items count="55">
        <item x="23"/>
        <item x="22"/>
        <item x="45"/>
        <item x="43"/>
        <item x="3"/>
        <item x="11"/>
        <item x="31"/>
        <item x="49"/>
        <item x="15"/>
        <item x="44"/>
        <item x="38"/>
        <item x="50"/>
        <item x="1"/>
        <item x="52"/>
        <item x="17"/>
        <item x="30"/>
        <item x="37"/>
        <item x="51"/>
        <item x="25"/>
        <item x="16"/>
        <item x="0"/>
        <item x="47"/>
        <item x="9"/>
        <item x="13"/>
        <item x="26"/>
        <item x="35"/>
        <item x="18"/>
        <item x="10"/>
        <item x="2"/>
        <item x="24"/>
        <item x="12"/>
        <item x="8"/>
        <item x="19"/>
        <item x="5"/>
        <item x="7"/>
        <item x="33"/>
        <item x="42"/>
        <item x="41"/>
        <item x="20"/>
        <item x="48"/>
        <item x="6"/>
        <item x="4"/>
        <item x="34"/>
        <item x="21"/>
        <item x="46"/>
        <item x="53"/>
        <item x="29"/>
        <item x="36"/>
        <item x="14"/>
        <item x="40"/>
        <item x="32"/>
        <item x="28"/>
        <item x="27"/>
        <item x="3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6"/>
  </rowFields>
  <rowItems count="55">
    <i>
      <x v="41"/>
    </i>
    <i>
      <x v="20"/>
    </i>
    <i>
      <x v="35"/>
    </i>
    <i>
      <x v="43"/>
    </i>
    <i>
      <x v="12"/>
    </i>
    <i>
      <x v="30"/>
    </i>
    <i>
      <x v="19"/>
    </i>
    <i>
      <x v="31"/>
    </i>
    <i>
      <x v="34"/>
    </i>
    <i>
      <x v="22"/>
    </i>
    <i>
      <x v="38"/>
    </i>
    <i>
      <x v="51"/>
    </i>
    <i>
      <x v="42"/>
    </i>
    <i>
      <x/>
    </i>
    <i>
      <x v="28"/>
    </i>
    <i>
      <x v="23"/>
    </i>
    <i>
      <x v="47"/>
    </i>
    <i>
      <x v="39"/>
    </i>
    <i>
      <x v="11"/>
    </i>
    <i>
      <x v="17"/>
    </i>
    <i>
      <x v="15"/>
    </i>
    <i>
      <x v="18"/>
    </i>
    <i>
      <x v="33"/>
    </i>
    <i>
      <x v="2"/>
    </i>
    <i>
      <x v="37"/>
    </i>
    <i>
      <x v="3"/>
    </i>
    <i>
      <x v="13"/>
    </i>
    <i>
      <x v="21"/>
    </i>
    <i>
      <x v="45"/>
    </i>
    <i>
      <x v="4"/>
    </i>
    <i>
      <x v="32"/>
    </i>
    <i>
      <x v="48"/>
    </i>
    <i>
      <x v="10"/>
    </i>
    <i>
      <x v="49"/>
    </i>
    <i>
      <x v="36"/>
    </i>
    <i>
      <x v="5"/>
    </i>
    <i>
      <x v="1"/>
    </i>
    <i>
      <x v="6"/>
    </i>
    <i>
      <x v="40"/>
    </i>
    <i>
      <x v="27"/>
    </i>
    <i>
      <x v="14"/>
    </i>
    <i>
      <x v="7"/>
    </i>
    <i>
      <x v="44"/>
    </i>
    <i>
      <x v="29"/>
    </i>
    <i>
      <x v="46"/>
    </i>
    <i>
      <x v="8"/>
    </i>
    <i>
      <x v="16"/>
    </i>
    <i>
      <x v="9"/>
    </i>
    <i>
      <x v="50"/>
    </i>
    <i>
      <x v="24"/>
    </i>
    <i>
      <x v="52"/>
    </i>
    <i>
      <x v="25"/>
    </i>
    <i>
      <x v="26"/>
    </i>
    <i>
      <x v="53"/>
    </i>
    <i t="grand">
      <x/>
    </i>
  </rowItems>
  <colItems count="1">
    <i/>
  </colItems>
  <dataFields count="1">
    <dataField name="Count of player_of_the_match" fld="6" subtotal="count" baseField="0" baseItem="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E1B1D-4714-42A2-BE27-9D8F23461E62}">
  <dimension ref="A3:B58"/>
  <sheetViews>
    <sheetView workbookViewId="0">
      <selection activeCell="E24" sqref="E24"/>
    </sheetView>
  </sheetViews>
  <sheetFormatPr defaultRowHeight="14.4" x14ac:dyDescent="0.3"/>
  <cols>
    <col min="1" max="1" width="19.88671875" bestFit="1" customWidth="1"/>
    <col min="2" max="2" width="27.33203125" bestFit="1" customWidth="1"/>
  </cols>
  <sheetData>
    <row r="3" spans="1:2" x14ac:dyDescent="0.3">
      <c r="A3" s="3" t="s">
        <v>192</v>
      </c>
      <c r="B3" t="s">
        <v>193</v>
      </c>
    </row>
    <row r="4" spans="1:2" x14ac:dyDescent="0.3">
      <c r="A4" s="4" t="s">
        <v>36</v>
      </c>
      <c r="B4">
        <v>3</v>
      </c>
    </row>
    <row r="5" spans="1:2" x14ac:dyDescent="0.3">
      <c r="A5" s="4" t="s">
        <v>13</v>
      </c>
      <c r="B5">
        <v>3</v>
      </c>
    </row>
    <row r="6" spans="1:2" x14ac:dyDescent="0.3">
      <c r="A6" s="4" t="s">
        <v>114</v>
      </c>
      <c r="B6">
        <v>2</v>
      </c>
    </row>
    <row r="7" spans="1:2" x14ac:dyDescent="0.3">
      <c r="A7" s="4" t="s">
        <v>88</v>
      </c>
      <c r="B7">
        <v>2</v>
      </c>
    </row>
    <row r="8" spans="1:2" x14ac:dyDescent="0.3">
      <c r="A8" s="4" t="s">
        <v>19</v>
      </c>
      <c r="B8">
        <v>2</v>
      </c>
    </row>
    <row r="9" spans="1:2" x14ac:dyDescent="0.3">
      <c r="A9" s="4" t="s">
        <v>60</v>
      </c>
      <c r="B9">
        <v>2</v>
      </c>
    </row>
    <row r="10" spans="1:2" x14ac:dyDescent="0.3">
      <c r="A10" s="4" t="s">
        <v>71</v>
      </c>
      <c r="B10">
        <v>2</v>
      </c>
    </row>
    <row r="11" spans="1:2" x14ac:dyDescent="0.3">
      <c r="A11" s="4" t="s">
        <v>49</v>
      </c>
      <c r="B11">
        <v>2</v>
      </c>
    </row>
    <row r="12" spans="1:2" x14ac:dyDescent="0.3">
      <c r="A12" s="4" t="s">
        <v>46</v>
      </c>
      <c r="B12">
        <v>2</v>
      </c>
    </row>
    <row r="13" spans="1:2" x14ac:dyDescent="0.3">
      <c r="A13" s="4" t="s">
        <v>52</v>
      </c>
      <c r="B13">
        <v>2</v>
      </c>
    </row>
    <row r="14" spans="1:2" x14ac:dyDescent="0.3">
      <c r="A14" s="4" t="s">
        <v>83</v>
      </c>
      <c r="B14">
        <v>2</v>
      </c>
    </row>
    <row r="15" spans="1:2" x14ac:dyDescent="0.3">
      <c r="A15" s="4" t="s">
        <v>105</v>
      </c>
      <c r="B15">
        <v>2</v>
      </c>
    </row>
    <row r="16" spans="1:2" x14ac:dyDescent="0.3">
      <c r="A16" s="4" t="s">
        <v>116</v>
      </c>
      <c r="B16">
        <v>2</v>
      </c>
    </row>
    <row r="17" spans="1:2" x14ac:dyDescent="0.3">
      <c r="A17" s="4" t="s">
        <v>91</v>
      </c>
      <c r="B17">
        <v>2</v>
      </c>
    </row>
    <row r="18" spans="1:2" x14ac:dyDescent="0.3">
      <c r="A18" s="4" t="s">
        <v>24</v>
      </c>
      <c r="B18">
        <v>2</v>
      </c>
    </row>
    <row r="19" spans="1:2" x14ac:dyDescent="0.3">
      <c r="A19" s="4" t="s">
        <v>63</v>
      </c>
      <c r="B19">
        <v>2</v>
      </c>
    </row>
    <row r="20" spans="1:2" x14ac:dyDescent="0.3">
      <c r="A20" s="4" t="s">
        <v>121</v>
      </c>
      <c r="B20">
        <v>1</v>
      </c>
    </row>
    <row r="21" spans="1:2" x14ac:dyDescent="0.3">
      <c r="A21" s="4" t="s">
        <v>168</v>
      </c>
      <c r="B21">
        <v>1</v>
      </c>
    </row>
    <row r="22" spans="1:2" x14ac:dyDescent="0.3">
      <c r="A22" s="4" t="s">
        <v>172</v>
      </c>
      <c r="B22">
        <v>1</v>
      </c>
    </row>
    <row r="23" spans="1:2" x14ac:dyDescent="0.3">
      <c r="A23" s="4" t="s">
        <v>175</v>
      </c>
      <c r="B23">
        <v>1</v>
      </c>
    </row>
    <row r="24" spans="1:2" x14ac:dyDescent="0.3">
      <c r="A24" s="4" t="s">
        <v>109</v>
      </c>
      <c r="B24">
        <v>1</v>
      </c>
    </row>
    <row r="25" spans="1:2" x14ac:dyDescent="0.3">
      <c r="A25" s="4" t="s">
        <v>97</v>
      </c>
      <c r="B25">
        <v>1</v>
      </c>
    </row>
    <row r="26" spans="1:2" x14ac:dyDescent="0.3">
      <c r="A26" s="4" t="s">
        <v>40</v>
      </c>
      <c r="B26">
        <v>1</v>
      </c>
    </row>
    <row r="27" spans="1:2" x14ac:dyDescent="0.3">
      <c r="A27" s="4" t="s">
        <v>158</v>
      </c>
      <c r="B27">
        <v>1</v>
      </c>
    </row>
    <row r="28" spans="1:2" x14ac:dyDescent="0.3">
      <c r="A28" s="4" t="s">
        <v>135</v>
      </c>
      <c r="B28">
        <v>1</v>
      </c>
    </row>
    <row r="29" spans="1:2" x14ac:dyDescent="0.3">
      <c r="A29" s="4" t="s">
        <v>142</v>
      </c>
      <c r="B29">
        <v>1</v>
      </c>
    </row>
    <row r="30" spans="1:2" x14ac:dyDescent="0.3">
      <c r="A30" s="4" t="s">
        <v>177</v>
      </c>
      <c r="B30">
        <v>1</v>
      </c>
    </row>
    <row r="31" spans="1:2" x14ac:dyDescent="0.3">
      <c r="A31" s="4" t="s">
        <v>163</v>
      </c>
      <c r="B31">
        <v>1</v>
      </c>
    </row>
    <row r="32" spans="1:2" x14ac:dyDescent="0.3">
      <c r="A32" s="4" t="s">
        <v>180</v>
      </c>
      <c r="B32">
        <v>1</v>
      </c>
    </row>
    <row r="33" spans="1:2" x14ac:dyDescent="0.3">
      <c r="A33" s="4" t="s">
        <v>30</v>
      </c>
      <c r="B33">
        <v>1</v>
      </c>
    </row>
    <row r="34" spans="1:2" x14ac:dyDescent="0.3">
      <c r="A34" s="4" t="s">
        <v>80</v>
      </c>
      <c r="B34">
        <v>1</v>
      </c>
    </row>
    <row r="35" spans="1:2" x14ac:dyDescent="0.3">
      <c r="A35" s="4" t="s">
        <v>65</v>
      </c>
      <c r="B35">
        <v>1</v>
      </c>
    </row>
    <row r="36" spans="1:2" x14ac:dyDescent="0.3">
      <c r="A36" s="4" t="s">
        <v>125</v>
      </c>
      <c r="B36">
        <v>1</v>
      </c>
    </row>
    <row r="37" spans="1:2" x14ac:dyDescent="0.3">
      <c r="A37" s="4" t="s">
        <v>130</v>
      </c>
      <c r="B37">
        <v>1</v>
      </c>
    </row>
    <row r="38" spans="1:2" x14ac:dyDescent="0.3">
      <c r="A38" s="4" t="s">
        <v>140</v>
      </c>
      <c r="B38">
        <v>1</v>
      </c>
    </row>
    <row r="39" spans="1:2" x14ac:dyDescent="0.3">
      <c r="A39" s="4" t="s">
        <v>57</v>
      </c>
      <c r="B39">
        <v>1</v>
      </c>
    </row>
    <row r="40" spans="1:2" x14ac:dyDescent="0.3">
      <c r="A40" s="4" t="s">
        <v>90</v>
      </c>
      <c r="B40">
        <v>1</v>
      </c>
    </row>
    <row r="41" spans="1:2" x14ac:dyDescent="0.3">
      <c r="A41" s="4" t="s">
        <v>110</v>
      </c>
      <c r="B41">
        <v>1</v>
      </c>
    </row>
    <row r="42" spans="1:2" x14ac:dyDescent="0.3">
      <c r="A42" s="4" t="s">
        <v>43</v>
      </c>
      <c r="B42">
        <v>1</v>
      </c>
    </row>
    <row r="43" spans="1:2" x14ac:dyDescent="0.3">
      <c r="A43" s="4" t="s">
        <v>53</v>
      </c>
      <c r="B43">
        <v>1</v>
      </c>
    </row>
    <row r="44" spans="1:2" x14ac:dyDescent="0.3">
      <c r="A44" s="4" t="s">
        <v>74</v>
      </c>
      <c r="B44">
        <v>1</v>
      </c>
    </row>
    <row r="45" spans="1:2" x14ac:dyDescent="0.3">
      <c r="A45" s="4" t="s">
        <v>170</v>
      </c>
      <c r="B45">
        <v>1</v>
      </c>
    </row>
    <row r="46" spans="1:2" x14ac:dyDescent="0.3">
      <c r="A46" s="4" t="s">
        <v>160</v>
      </c>
      <c r="B46">
        <v>1</v>
      </c>
    </row>
    <row r="47" spans="1:2" x14ac:dyDescent="0.3">
      <c r="A47" s="4" t="s">
        <v>94</v>
      </c>
      <c r="B47">
        <v>1</v>
      </c>
    </row>
    <row r="48" spans="1:2" x14ac:dyDescent="0.3">
      <c r="A48" s="4" t="s">
        <v>107</v>
      </c>
      <c r="B48">
        <v>1</v>
      </c>
    </row>
    <row r="49" spans="1:2" x14ac:dyDescent="0.3">
      <c r="A49" s="4" t="s">
        <v>68</v>
      </c>
      <c r="B49">
        <v>1</v>
      </c>
    </row>
    <row r="50" spans="1:2" x14ac:dyDescent="0.3">
      <c r="A50" s="4" t="s">
        <v>123</v>
      </c>
      <c r="B50">
        <v>1</v>
      </c>
    </row>
    <row r="51" spans="1:2" x14ac:dyDescent="0.3">
      <c r="A51" s="4" t="s">
        <v>153</v>
      </c>
      <c r="B51">
        <v>1</v>
      </c>
    </row>
    <row r="52" spans="1:2" x14ac:dyDescent="0.3">
      <c r="A52" s="4" t="s">
        <v>113</v>
      </c>
      <c r="B52">
        <v>1</v>
      </c>
    </row>
    <row r="53" spans="1:2" x14ac:dyDescent="0.3">
      <c r="A53" s="4" t="s">
        <v>99</v>
      </c>
      <c r="B53">
        <v>1</v>
      </c>
    </row>
    <row r="54" spans="1:2" x14ac:dyDescent="0.3">
      <c r="A54" s="4" t="s">
        <v>101</v>
      </c>
      <c r="B54">
        <v>1</v>
      </c>
    </row>
    <row r="55" spans="1:2" x14ac:dyDescent="0.3">
      <c r="A55" s="4" t="s">
        <v>119</v>
      </c>
      <c r="B55">
        <v>1</v>
      </c>
    </row>
    <row r="56" spans="1:2" x14ac:dyDescent="0.3">
      <c r="A56" s="4" t="s">
        <v>78</v>
      </c>
      <c r="B56">
        <v>1</v>
      </c>
    </row>
    <row r="57" spans="1:2" x14ac:dyDescent="0.3">
      <c r="A57" s="4" t="s">
        <v>190</v>
      </c>
    </row>
    <row r="58" spans="1:2" x14ac:dyDescent="0.3">
      <c r="A58" s="4" t="s">
        <v>191</v>
      </c>
      <c r="B58">
        <v>71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28CE5-A1FD-415D-86F8-940252146316}">
  <dimension ref="A1:H75"/>
  <sheetViews>
    <sheetView workbookViewId="0">
      <selection activeCell="M16" sqref="M16"/>
    </sheetView>
  </sheetViews>
  <sheetFormatPr defaultRowHeight="14.4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11</v>
      </c>
      <c r="G2" t="s">
        <v>13</v>
      </c>
      <c r="H2" t="s">
        <v>14</v>
      </c>
    </row>
    <row r="3" spans="1:8" x14ac:dyDescent="0.3">
      <c r="A3" t="s">
        <v>15</v>
      </c>
      <c r="B3" t="s">
        <v>16</v>
      </c>
      <c r="C3" t="s">
        <v>17</v>
      </c>
      <c r="D3" t="s">
        <v>18</v>
      </c>
      <c r="E3" t="s">
        <v>12</v>
      </c>
      <c r="F3" t="s">
        <v>17</v>
      </c>
      <c r="G3" t="s">
        <v>19</v>
      </c>
      <c r="H3" t="s">
        <v>20</v>
      </c>
    </row>
    <row r="4" spans="1:8" x14ac:dyDescent="0.3">
      <c r="A4" t="s">
        <v>15</v>
      </c>
      <c r="B4" t="s">
        <v>21</v>
      </c>
      <c r="C4" t="s">
        <v>22</v>
      </c>
      <c r="D4" t="s">
        <v>23</v>
      </c>
      <c r="E4" t="s">
        <v>12</v>
      </c>
      <c r="F4" t="s">
        <v>22</v>
      </c>
      <c r="G4" t="s">
        <v>24</v>
      </c>
      <c r="H4" t="s">
        <v>25</v>
      </c>
    </row>
    <row r="5" spans="1:8" x14ac:dyDescent="0.3">
      <c r="A5" t="s">
        <v>26</v>
      </c>
      <c r="B5" t="s">
        <v>27</v>
      </c>
      <c r="C5" t="s">
        <v>28</v>
      </c>
      <c r="D5" t="s">
        <v>29</v>
      </c>
      <c r="E5" t="s">
        <v>12</v>
      </c>
      <c r="F5" t="s">
        <v>28</v>
      </c>
      <c r="G5" t="s">
        <v>30</v>
      </c>
      <c r="H5" t="s">
        <v>31</v>
      </c>
    </row>
    <row r="6" spans="1:8" x14ac:dyDescent="0.3">
      <c r="A6" t="s">
        <v>32</v>
      </c>
      <c r="B6" t="s">
        <v>33</v>
      </c>
      <c r="C6" t="s">
        <v>34</v>
      </c>
      <c r="D6" t="s">
        <v>35</v>
      </c>
      <c r="E6" t="s">
        <v>12</v>
      </c>
      <c r="F6" t="s">
        <v>35</v>
      </c>
      <c r="G6" t="s">
        <v>36</v>
      </c>
      <c r="H6" t="s">
        <v>37</v>
      </c>
    </row>
    <row r="7" spans="1:8" x14ac:dyDescent="0.3">
      <c r="A7" t="s">
        <v>38</v>
      </c>
      <c r="B7" t="s">
        <v>39</v>
      </c>
      <c r="C7" t="s">
        <v>18</v>
      </c>
      <c r="D7" t="s">
        <v>10</v>
      </c>
      <c r="E7" t="s">
        <v>12</v>
      </c>
      <c r="F7" t="s">
        <v>10</v>
      </c>
      <c r="G7" t="s">
        <v>40</v>
      </c>
      <c r="H7" t="s">
        <v>41</v>
      </c>
    </row>
    <row r="8" spans="1:8" x14ac:dyDescent="0.3">
      <c r="A8" t="s">
        <v>42</v>
      </c>
      <c r="B8" t="s">
        <v>16</v>
      </c>
      <c r="C8" t="s">
        <v>17</v>
      </c>
      <c r="D8" t="s">
        <v>29</v>
      </c>
      <c r="E8" t="s">
        <v>12</v>
      </c>
      <c r="F8" t="s">
        <v>29</v>
      </c>
      <c r="G8" t="s">
        <v>43</v>
      </c>
      <c r="H8" t="s">
        <v>44</v>
      </c>
    </row>
    <row r="9" spans="1:8" x14ac:dyDescent="0.3">
      <c r="A9" t="s">
        <v>45</v>
      </c>
      <c r="B9" t="s">
        <v>21</v>
      </c>
      <c r="C9" t="s">
        <v>22</v>
      </c>
      <c r="D9" t="s">
        <v>11</v>
      </c>
      <c r="E9" t="s">
        <v>12</v>
      </c>
      <c r="F9" t="s">
        <v>11</v>
      </c>
      <c r="G9" t="s">
        <v>46</v>
      </c>
      <c r="H9" t="s">
        <v>47</v>
      </c>
    </row>
    <row r="10" spans="1:8" x14ac:dyDescent="0.3">
      <c r="A10" t="s">
        <v>48</v>
      </c>
      <c r="B10" t="s">
        <v>33</v>
      </c>
      <c r="C10" t="s">
        <v>34</v>
      </c>
      <c r="D10" t="s">
        <v>23</v>
      </c>
      <c r="E10" t="s">
        <v>12</v>
      </c>
      <c r="F10" t="s">
        <v>34</v>
      </c>
      <c r="G10" t="s">
        <v>49</v>
      </c>
      <c r="H10" t="s">
        <v>50</v>
      </c>
    </row>
    <row r="11" spans="1:8" x14ac:dyDescent="0.3">
      <c r="A11" t="s">
        <v>51</v>
      </c>
      <c r="B11" t="s">
        <v>27</v>
      </c>
      <c r="C11" t="s">
        <v>28</v>
      </c>
      <c r="D11" t="s">
        <v>17</v>
      </c>
      <c r="E11" t="s">
        <v>12</v>
      </c>
      <c r="F11" t="s">
        <v>28</v>
      </c>
      <c r="G11" t="s">
        <v>52</v>
      </c>
      <c r="H11" t="s">
        <v>14</v>
      </c>
    </row>
    <row r="12" spans="1:8" x14ac:dyDescent="0.3">
      <c r="A12" t="s">
        <v>51</v>
      </c>
      <c r="B12" t="s">
        <v>39</v>
      </c>
      <c r="C12" t="s">
        <v>18</v>
      </c>
      <c r="D12" t="s">
        <v>22</v>
      </c>
      <c r="E12" t="s">
        <v>12</v>
      </c>
      <c r="F12" t="s">
        <v>18</v>
      </c>
      <c r="G12" t="s">
        <v>53</v>
      </c>
      <c r="H12" t="s">
        <v>54</v>
      </c>
    </row>
    <row r="13" spans="1:8" x14ac:dyDescent="0.3">
      <c r="A13" t="s">
        <v>55</v>
      </c>
      <c r="B13" t="s">
        <v>56</v>
      </c>
      <c r="C13" t="s">
        <v>23</v>
      </c>
      <c r="D13" t="s">
        <v>10</v>
      </c>
      <c r="E13" t="s">
        <v>12</v>
      </c>
      <c r="F13" t="s">
        <v>23</v>
      </c>
      <c r="G13" t="s">
        <v>57</v>
      </c>
      <c r="H13" t="s">
        <v>41</v>
      </c>
    </row>
    <row r="14" spans="1:8" x14ac:dyDescent="0.3">
      <c r="A14" t="s">
        <v>58</v>
      </c>
      <c r="B14" t="s">
        <v>59</v>
      </c>
      <c r="C14" t="s">
        <v>29</v>
      </c>
      <c r="D14" t="s">
        <v>35</v>
      </c>
      <c r="E14" t="s">
        <v>12</v>
      </c>
      <c r="F14" t="s">
        <v>35</v>
      </c>
      <c r="G14" t="s">
        <v>60</v>
      </c>
      <c r="H14" t="s">
        <v>41</v>
      </c>
    </row>
    <row r="15" spans="1:8" x14ac:dyDescent="0.3">
      <c r="A15" t="s">
        <v>61</v>
      </c>
      <c r="B15" t="s">
        <v>62</v>
      </c>
      <c r="C15" t="s">
        <v>11</v>
      </c>
      <c r="D15" t="s">
        <v>34</v>
      </c>
      <c r="E15" t="s">
        <v>12</v>
      </c>
      <c r="F15" t="s">
        <v>34</v>
      </c>
      <c r="G15" t="s">
        <v>63</v>
      </c>
      <c r="H15" t="s">
        <v>41</v>
      </c>
    </row>
    <row r="16" spans="1:8" x14ac:dyDescent="0.3">
      <c r="A16" t="s">
        <v>64</v>
      </c>
      <c r="B16" t="s">
        <v>9</v>
      </c>
      <c r="C16" t="s">
        <v>10</v>
      </c>
      <c r="D16" t="s">
        <v>17</v>
      </c>
      <c r="E16" t="s">
        <v>12</v>
      </c>
      <c r="F16" t="s">
        <v>10</v>
      </c>
      <c r="G16" t="s">
        <v>65</v>
      </c>
      <c r="H16" t="s">
        <v>66</v>
      </c>
    </row>
    <row r="17" spans="1:8" x14ac:dyDescent="0.3">
      <c r="A17" t="s">
        <v>67</v>
      </c>
      <c r="B17" t="s">
        <v>59</v>
      </c>
      <c r="C17" t="s">
        <v>29</v>
      </c>
      <c r="D17" t="s">
        <v>23</v>
      </c>
      <c r="E17" t="s">
        <v>12</v>
      </c>
      <c r="F17" t="s">
        <v>29</v>
      </c>
      <c r="G17" t="s">
        <v>68</v>
      </c>
      <c r="H17" t="s">
        <v>69</v>
      </c>
    </row>
    <row r="18" spans="1:8" x14ac:dyDescent="0.3">
      <c r="A18" t="s">
        <v>70</v>
      </c>
      <c r="B18" t="s">
        <v>21</v>
      </c>
      <c r="C18" t="s">
        <v>22</v>
      </c>
      <c r="D18" t="s">
        <v>28</v>
      </c>
      <c r="E18" t="s">
        <v>12</v>
      </c>
      <c r="F18" t="s">
        <v>28</v>
      </c>
      <c r="G18" t="s">
        <v>71</v>
      </c>
      <c r="H18" t="s">
        <v>72</v>
      </c>
    </row>
    <row r="19" spans="1:8" x14ac:dyDescent="0.3">
      <c r="A19" t="s">
        <v>70</v>
      </c>
      <c r="B19" t="s">
        <v>73</v>
      </c>
      <c r="C19" t="s">
        <v>35</v>
      </c>
      <c r="D19" t="s">
        <v>18</v>
      </c>
      <c r="E19" t="s">
        <v>12</v>
      </c>
      <c r="F19" t="s">
        <v>18</v>
      </c>
      <c r="G19" t="s">
        <v>74</v>
      </c>
      <c r="H19" t="s">
        <v>47</v>
      </c>
    </row>
    <row r="20" spans="1:8" x14ac:dyDescent="0.3">
      <c r="A20" t="s">
        <v>75</v>
      </c>
      <c r="B20" t="s">
        <v>16</v>
      </c>
      <c r="C20" t="s">
        <v>17</v>
      </c>
      <c r="D20" t="s">
        <v>34</v>
      </c>
      <c r="E20" t="s">
        <v>12</v>
      </c>
      <c r="F20" t="s">
        <v>34</v>
      </c>
      <c r="G20" t="s">
        <v>63</v>
      </c>
      <c r="H20" t="s">
        <v>14</v>
      </c>
    </row>
    <row r="21" spans="1:8" x14ac:dyDescent="0.3">
      <c r="A21" t="s">
        <v>76</v>
      </c>
      <c r="B21" t="s">
        <v>56</v>
      </c>
      <c r="C21" t="s">
        <v>23</v>
      </c>
      <c r="D21" t="s">
        <v>11</v>
      </c>
      <c r="E21" t="s">
        <v>12</v>
      </c>
      <c r="F21" t="s">
        <v>11</v>
      </c>
      <c r="G21" t="s">
        <v>46</v>
      </c>
      <c r="H21" t="s">
        <v>69</v>
      </c>
    </row>
    <row r="22" spans="1:8" x14ac:dyDescent="0.3">
      <c r="A22" t="s">
        <v>77</v>
      </c>
      <c r="B22" t="s">
        <v>9</v>
      </c>
      <c r="C22" t="s">
        <v>10</v>
      </c>
      <c r="D22" t="s">
        <v>29</v>
      </c>
      <c r="E22" t="s">
        <v>12</v>
      </c>
      <c r="F22" t="s">
        <v>29</v>
      </c>
      <c r="G22" t="s">
        <v>78</v>
      </c>
      <c r="H22" t="s">
        <v>79</v>
      </c>
    </row>
    <row r="23" spans="1:8" x14ac:dyDescent="0.3">
      <c r="A23" t="s">
        <v>77</v>
      </c>
      <c r="B23" t="s">
        <v>73</v>
      </c>
      <c r="C23" t="s">
        <v>35</v>
      </c>
      <c r="D23" t="s">
        <v>22</v>
      </c>
      <c r="E23" t="s">
        <v>12</v>
      </c>
      <c r="F23" t="s">
        <v>35</v>
      </c>
      <c r="G23" t="s">
        <v>80</v>
      </c>
      <c r="H23" t="s">
        <v>81</v>
      </c>
    </row>
    <row r="24" spans="1:8" x14ac:dyDescent="0.3">
      <c r="A24" t="s">
        <v>82</v>
      </c>
      <c r="B24" t="s">
        <v>33</v>
      </c>
      <c r="C24" t="s">
        <v>34</v>
      </c>
      <c r="D24" t="s">
        <v>18</v>
      </c>
      <c r="E24" t="s">
        <v>12</v>
      </c>
      <c r="F24" t="s">
        <v>34</v>
      </c>
      <c r="G24" t="s">
        <v>83</v>
      </c>
      <c r="H24" t="s">
        <v>84</v>
      </c>
    </row>
    <row r="25" spans="1:8" x14ac:dyDescent="0.3">
      <c r="A25" t="s">
        <v>85</v>
      </c>
      <c r="B25" t="s">
        <v>62</v>
      </c>
      <c r="C25" t="s">
        <v>11</v>
      </c>
      <c r="D25" t="s">
        <v>28</v>
      </c>
      <c r="E25" t="s">
        <v>12</v>
      </c>
      <c r="F25" t="s">
        <v>28</v>
      </c>
      <c r="G25" t="s">
        <v>71</v>
      </c>
      <c r="H25" t="s">
        <v>86</v>
      </c>
    </row>
    <row r="26" spans="1:8" x14ac:dyDescent="0.3">
      <c r="A26" t="s">
        <v>87</v>
      </c>
      <c r="B26" t="s">
        <v>21</v>
      </c>
      <c r="C26" t="s">
        <v>22</v>
      </c>
      <c r="D26" t="s">
        <v>10</v>
      </c>
      <c r="E26" t="s">
        <v>12</v>
      </c>
      <c r="F26" t="s">
        <v>10</v>
      </c>
      <c r="G26" t="s">
        <v>88</v>
      </c>
      <c r="H26" t="s">
        <v>41</v>
      </c>
    </row>
    <row r="27" spans="1:8" x14ac:dyDescent="0.3">
      <c r="A27" t="s">
        <v>89</v>
      </c>
      <c r="B27" t="s">
        <v>59</v>
      </c>
      <c r="C27" t="s">
        <v>29</v>
      </c>
      <c r="D27" t="s">
        <v>34</v>
      </c>
      <c r="E27" t="s">
        <v>12</v>
      </c>
      <c r="F27" t="s">
        <v>29</v>
      </c>
      <c r="G27" t="s">
        <v>90</v>
      </c>
      <c r="H27" t="s">
        <v>86</v>
      </c>
    </row>
    <row r="28" spans="1:8" x14ac:dyDescent="0.3">
      <c r="A28" t="s">
        <v>89</v>
      </c>
      <c r="B28" t="s">
        <v>16</v>
      </c>
      <c r="C28" t="s">
        <v>17</v>
      </c>
      <c r="D28" t="s">
        <v>35</v>
      </c>
      <c r="E28" t="s">
        <v>12</v>
      </c>
      <c r="F28" t="s">
        <v>17</v>
      </c>
      <c r="G28" t="s">
        <v>91</v>
      </c>
      <c r="H28" t="s">
        <v>41</v>
      </c>
    </row>
    <row r="29" spans="1:8" x14ac:dyDescent="0.3">
      <c r="A29" t="s">
        <v>92</v>
      </c>
      <c r="B29" t="s">
        <v>93</v>
      </c>
      <c r="C29" t="s">
        <v>18</v>
      </c>
      <c r="D29" t="s">
        <v>11</v>
      </c>
      <c r="E29" t="s">
        <v>12</v>
      </c>
      <c r="F29" t="s">
        <v>11</v>
      </c>
      <c r="G29" t="s">
        <v>94</v>
      </c>
      <c r="H29" t="s">
        <v>95</v>
      </c>
    </row>
    <row r="30" spans="1:8" x14ac:dyDescent="0.3">
      <c r="A30" t="s">
        <v>92</v>
      </c>
      <c r="B30" t="s">
        <v>96</v>
      </c>
      <c r="C30" t="s">
        <v>28</v>
      </c>
      <c r="D30" t="s">
        <v>23</v>
      </c>
      <c r="E30" t="s">
        <v>12</v>
      </c>
      <c r="F30" t="s">
        <v>28</v>
      </c>
      <c r="G30" t="s">
        <v>97</v>
      </c>
      <c r="H30" t="s">
        <v>69</v>
      </c>
    </row>
    <row r="31" spans="1:8" x14ac:dyDescent="0.3">
      <c r="A31" t="s">
        <v>98</v>
      </c>
      <c r="B31" t="s">
        <v>59</v>
      </c>
      <c r="C31" t="s">
        <v>29</v>
      </c>
      <c r="D31" t="s">
        <v>22</v>
      </c>
      <c r="E31" t="s">
        <v>12</v>
      </c>
      <c r="F31" t="s">
        <v>22</v>
      </c>
      <c r="G31" t="s">
        <v>99</v>
      </c>
      <c r="H31" t="s">
        <v>44</v>
      </c>
    </row>
    <row r="32" spans="1:8" x14ac:dyDescent="0.3">
      <c r="A32" t="s">
        <v>100</v>
      </c>
      <c r="B32" t="s">
        <v>73</v>
      </c>
      <c r="C32" t="s">
        <v>35</v>
      </c>
      <c r="D32" t="s">
        <v>10</v>
      </c>
      <c r="E32" t="s">
        <v>12</v>
      </c>
      <c r="F32" t="s">
        <v>35</v>
      </c>
      <c r="G32" t="s">
        <v>101</v>
      </c>
      <c r="H32" t="s">
        <v>102</v>
      </c>
    </row>
    <row r="33" spans="1:8" x14ac:dyDescent="0.3">
      <c r="A33" t="s">
        <v>103</v>
      </c>
      <c r="B33" t="s">
        <v>96</v>
      </c>
      <c r="C33" t="s">
        <v>28</v>
      </c>
      <c r="D33" t="s">
        <v>18</v>
      </c>
      <c r="E33" t="s">
        <v>12</v>
      </c>
      <c r="F33" t="s">
        <v>28</v>
      </c>
      <c r="G33" t="s">
        <v>52</v>
      </c>
    </row>
    <row r="34" spans="1:8" x14ac:dyDescent="0.3">
      <c r="A34" t="s">
        <v>104</v>
      </c>
      <c r="B34" t="s">
        <v>56</v>
      </c>
      <c r="C34" t="s">
        <v>23</v>
      </c>
      <c r="D34" t="s">
        <v>17</v>
      </c>
      <c r="E34" t="s">
        <v>12</v>
      </c>
      <c r="F34" t="s">
        <v>23</v>
      </c>
      <c r="G34" t="s">
        <v>105</v>
      </c>
      <c r="H34" t="s">
        <v>25</v>
      </c>
    </row>
    <row r="35" spans="1:8" x14ac:dyDescent="0.3">
      <c r="A35" t="s">
        <v>106</v>
      </c>
      <c r="B35" t="s">
        <v>62</v>
      </c>
      <c r="C35" t="s">
        <v>11</v>
      </c>
      <c r="D35" t="s">
        <v>35</v>
      </c>
      <c r="E35" t="s">
        <v>12</v>
      </c>
      <c r="F35" t="s">
        <v>35</v>
      </c>
      <c r="G35" t="s">
        <v>107</v>
      </c>
      <c r="H35" t="s">
        <v>44</v>
      </c>
    </row>
    <row r="36" spans="1:8" x14ac:dyDescent="0.3">
      <c r="A36" t="s">
        <v>108</v>
      </c>
      <c r="B36" t="s">
        <v>33</v>
      </c>
      <c r="C36" t="s">
        <v>34</v>
      </c>
      <c r="D36" t="s">
        <v>28</v>
      </c>
      <c r="E36" t="s">
        <v>12</v>
      </c>
      <c r="F36" t="s">
        <v>34</v>
      </c>
      <c r="G36" t="s">
        <v>109</v>
      </c>
      <c r="H36" t="s">
        <v>14</v>
      </c>
    </row>
    <row r="37" spans="1:8" x14ac:dyDescent="0.3">
      <c r="A37" t="s">
        <v>108</v>
      </c>
      <c r="B37" t="s">
        <v>93</v>
      </c>
      <c r="C37" t="s">
        <v>18</v>
      </c>
      <c r="D37" t="s">
        <v>29</v>
      </c>
      <c r="E37" t="s">
        <v>12</v>
      </c>
      <c r="F37" t="s">
        <v>29</v>
      </c>
      <c r="G37" t="s">
        <v>110</v>
      </c>
      <c r="H37" t="s">
        <v>111</v>
      </c>
    </row>
    <row r="38" spans="1:8" x14ac:dyDescent="0.3">
      <c r="A38" t="s">
        <v>112</v>
      </c>
      <c r="B38" t="s">
        <v>73</v>
      </c>
      <c r="C38" t="s">
        <v>35</v>
      </c>
      <c r="D38" t="s">
        <v>11</v>
      </c>
      <c r="E38" t="s">
        <v>12</v>
      </c>
      <c r="F38" t="s">
        <v>35</v>
      </c>
      <c r="G38" t="s">
        <v>113</v>
      </c>
      <c r="H38" t="s">
        <v>14</v>
      </c>
    </row>
    <row r="39" spans="1:8" x14ac:dyDescent="0.3">
      <c r="A39" t="s">
        <v>112</v>
      </c>
      <c r="B39" t="s">
        <v>56</v>
      </c>
      <c r="C39" t="s">
        <v>23</v>
      </c>
      <c r="D39" t="s">
        <v>22</v>
      </c>
      <c r="E39" t="s">
        <v>12</v>
      </c>
      <c r="F39" t="s">
        <v>23</v>
      </c>
      <c r="G39" t="s">
        <v>114</v>
      </c>
      <c r="H39" t="s">
        <v>95</v>
      </c>
    </row>
    <row r="40" spans="1:8" x14ac:dyDescent="0.3">
      <c r="A40" t="s">
        <v>115</v>
      </c>
      <c r="B40" t="s">
        <v>9</v>
      </c>
      <c r="C40" t="s">
        <v>10</v>
      </c>
      <c r="D40" t="s">
        <v>34</v>
      </c>
      <c r="E40" t="s">
        <v>12</v>
      </c>
      <c r="F40" t="s">
        <v>34</v>
      </c>
      <c r="G40" t="s">
        <v>116</v>
      </c>
      <c r="H40" t="s">
        <v>117</v>
      </c>
    </row>
    <row r="41" spans="1:8" x14ac:dyDescent="0.3">
      <c r="A41" t="s">
        <v>118</v>
      </c>
      <c r="B41" t="s">
        <v>59</v>
      </c>
      <c r="C41" t="s">
        <v>29</v>
      </c>
      <c r="D41" t="s">
        <v>28</v>
      </c>
      <c r="E41" t="s">
        <v>12</v>
      </c>
      <c r="F41" t="s">
        <v>28</v>
      </c>
      <c r="G41" t="s">
        <v>119</v>
      </c>
      <c r="H41" t="s">
        <v>41</v>
      </c>
    </row>
    <row r="42" spans="1:8" x14ac:dyDescent="0.3">
      <c r="A42" t="s">
        <v>120</v>
      </c>
      <c r="B42" t="s">
        <v>16</v>
      </c>
      <c r="C42" t="s">
        <v>17</v>
      </c>
      <c r="D42" t="s">
        <v>23</v>
      </c>
      <c r="E42" t="s">
        <v>12</v>
      </c>
      <c r="F42" t="s">
        <v>23</v>
      </c>
      <c r="G42" t="s">
        <v>121</v>
      </c>
      <c r="H42" t="s">
        <v>14</v>
      </c>
    </row>
    <row r="43" spans="1:8" x14ac:dyDescent="0.3">
      <c r="A43" t="s">
        <v>122</v>
      </c>
      <c r="B43" t="s">
        <v>62</v>
      </c>
      <c r="C43" t="s">
        <v>11</v>
      </c>
      <c r="D43" t="s">
        <v>18</v>
      </c>
      <c r="E43" t="s">
        <v>12</v>
      </c>
      <c r="F43" t="s">
        <v>11</v>
      </c>
      <c r="G43" t="s">
        <v>123</v>
      </c>
      <c r="H43" t="s">
        <v>37</v>
      </c>
    </row>
    <row r="44" spans="1:8" x14ac:dyDescent="0.3">
      <c r="A44" t="s">
        <v>124</v>
      </c>
      <c r="B44" t="s">
        <v>21</v>
      </c>
      <c r="C44" t="s">
        <v>22</v>
      </c>
      <c r="D44" t="s">
        <v>17</v>
      </c>
      <c r="E44" t="s">
        <v>12</v>
      </c>
      <c r="F44" t="s">
        <v>17</v>
      </c>
      <c r="G44" t="s">
        <v>125</v>
      </c>
      <c r="H44" t="s">
        <v>44</v>
      </c>
    </row>
    <row r="45" spans="1:8" x14ac:dyDescent="0.3">
      <c r="A45" t="s">
        <v>126</v>
      </c>
      <c r="B45" t="s">
        <v>9</v>
      </c>
      <c r="C45" t="s">
        <v>10</v>
      </c>
      <c r="D45" t="s">
        <v>35</v>
      </c>
      <c r="E45" t="s">
        <v>12</v>
      </c>
    </row>
    <row r="46" spans="1:8" x14ac:dyDescent="0.3">
      <c r="A46" t="s">
        <v>127</v>
      </c>
      <c r="B46" t="s">
        <v>56</v>
      </c>
      <c r="C46" t="s">
        <v>23</v>
      </c>
      <c r="D46" t="s">
        <v>29</v>
      </c>
      <c r="E46" t="s">
        <v>12</v>
      </c>
      <c r="F46" t="s">
        <v>23</v>
      </c>
      <c r="G46" t="s">
        <v>105</v>
      </c>
      <c r="H46" t="s">
        <v>128</v>
      </c>
    </row>
    <row r="47" spans="1:8" x14ac:dyDescent="0.3">
      <c r="A47" t="s">
        <v>127</v>
      </c>
      <c r="B47" t="s">
        <v>96</v>
      </c>
      <c r="C47" t="s">
        <v>28</v>
      </c>
      <c r="D47" t="s">
        <v>11</v>
      </c>
      <c r="E47" t="s">
        <v>12</v>
      </c>
      <c r="F47" t="s">
        <v>11</v>
      </c>
      <c r="G47" t="s">
        <v>13</v>
      </c>
      <c r="H47" t="s">
        <v>86</v>
      </c>
    </row>
    <row r="48" spans="1:8" x14ac:dyDescent="0.3">
      <c r="A48" t="s">
        <v>129</v>
      </c>
      <c r="B48" t="s">
        <v>93</v>
      </c>
      <c r="C48" t="s">
        <v>18</v>
      </c>
      <c r="D48" t="s">
        <v>34</v>
      </c>
      <c r="E48" t="s">
        <v>12</v>
      </c>
      <c r="F48" t="s">
        <v>18</v>
      </c>
      <c r="G48" t="s">
        <v>130</v>
      </c>
      <c r="H48" t="s">
        <v>41</v>
      </c>
    </row>
    <row r="49" spans="1:8" x14ac:dyDescent="0.3">
      <c r="A49" t="s">
        <v>131</v>
      </c>
      <c r="B49" t="s">
        <v>96</v>
      </c>
      <c r="C49" t="s">
        <v>28</v>
      </c>
      <c r="D49" t="s">
        <v>10</v>
      </c>
      <c r="E49" t="s">
        <v>12</v>
      </c>
      <c r="F49" t="s">
        <v>10</v>
      </c>
      <c r="G49" t="s">
        <v>88</v>
      </c>
      <c r="H49" t="s">
        <v>132</v>
      </c>
    </row>
    <row r="50" spans="1:8" x14ac:dyDescent="0.3">
      <c r="A50" t="s">
        <v>133</v>
      </c>
      <c r="B50" t="s">
        <v>21</v>
      </c>
      <c r="C50" t="s">
        <v>22</v>
      </c>
      <c r="D50" t="s">
        <v>35</v>
      </c>
      <c r="E50" t="s">
        <v>12</v>
      </c>
      <c r="F50" t="s">
        <v>35</v>
      </c>
      <c r="G50" t="s">
        <v>36</v>
      </c>
      <c r="H50" t="s">
        <v>25</v>
      </c>
    </row>
    <row r="51" spans="1:8" x14ac:dyDescent="0.3">
      <c r="A51" t="s">
        <v>134</v>
      </c>
      <c r="B51" t="s">
        <v>93</v>
      </c>
      <c r="C51" t="s">
        <v>18</v>
      </c>
      <c r="D51" t="s">
        <v>23</v>
      </c>
      <c r="E51" t="s">
        <v>12</v>
      </c>
      <c r="F51" t="s">
        <v>23</v>
      </c>
      <c r="G51" t="s">
        <v>135</v>
      </c>
      <c r="H51" t="s">
        <v>136</v>
      </c>
    </row>
    <row r="52" spans="1:8" x14ac:dyDescent="0.3">
      <c r="A52" t="s">
        <v>137</v>
      </c>
      <c r="B52" t="s">
        <v>33</v>
      </c>
      <c r="C52" t="s">
        <v>34</v>
      </c>
      <c r="D52" t="s">
        <v>17</v>
      </c>
      <c r="E52" t="s">
        <v>12</v>
      </c>
      <c r="F52" t="s">
        <v>34</v>
      </c>
      <c r="G52" t="s">
        <v>49</v>
      </c>
      <c r="H52" t="s">
        <v>138</v>
      </c>
    </row>
    <row r="53" spans="1:8" x14ac:dyDescent="0.3">
      <c r="A53" t="s">
        <v>139</v>
      </c>
      <c r="B53" t="s">
        <v>62</v>
      </c>
      <c r="C53" t="s">
        <v>11</v>
      </c>
      <c r="D53" t="s">
        <v>22</v>
      </c>
      <c r="E53" t="s">
        <v>12</v>
      </c>
      <c r="F53" t="s">
        <v>11</v>
      </c>
      <c r="G53" t="s">
        <v>140</v>
      </c>
      <c r="H53" t="s">
        <v>111</v>
      </c>
    </row>
    <row r="54" spans="1:8" x14ac:dyDescent="0.3">
      <c r="A54" t="s">
        <v>141</v>
      </c>
      <c r="B54" t="s">
        <v>9</v>
      </c>
      <c r="C54" t="s">
        <v>10</v>
      </c>
      <c r="D54" t="s">
        <v>18</v>
      </c>
      <c r="E54" t="s">
        <v>12</v>
      </c>
      <c r="F54" t="s">
        <v>10</v>
      </c>
      <c r="G54" t="s">
        <v>142</v>
      </c>
      <c r="H54" t="s">
        <v>143</v>
      </c>
    </row>
    <row r="55" spans="1:8" x14ac:dyDescent="0.3">
      <c r="A55" t="s">
        <v>141</v>
      </c>
      <c r="B55" t="s">
        <v>144</v>
      </c>
      <c r="C55" t="s">
        <v>35</v>
      </c>
      <c r="D55" t="s">
        <v>29</v>
      </c>
      <c r="E55" t="s">
        <v>12</v>
      </c>
      <c r="F55" t="s">
        <v>35</v>
      </c>
      <c r="G55" t="s">
        <v>60</v>
      </c>
      <c r="H55" t="s">
        <v>145</v>
      </c>
    </row>
    <row r="56" spans="1:8" x14ac:dyDescent="0.3">
      <c r="A56" t="s">
        <v>146</v>
      </c>
      <c r="B56" t="s">
        <v>16</v>
      </c>
      <c r="C56" t="s">
        <v>17</v>
      </c>
      <c r="D56" t="s">
        <v>28</v>
      </c>
      <c r="E56" t="s">
        <v>12</v>
      </c>
    </row>
    <row r="57" spans="1:8" x14ac:dyDescent="0.3">
      <c r="A57" t="s">
        <v>147</v>
      </c>
      <c r="B57" t="s">
        <v>56</v>
      </c>
      <c r="C57" t="s">
        <v>23</v>
      </c>
      <c r="D57" t="s">
        <v>34</v>
      </c>
      <c r="E57" t="s">
        <v>12</v>
      </c>
      <c r="F57" t="s">
        <v>34</v>
      </c>
      <c r="G57" t="s">
        <v>116</v>
      </c>
      <c r="H57" t="s">
        <v>148</v>
      </c>
    </row>
    <row r="58" spans="1:8" x14ac:dyDescent="0.3">
      <c r="A58" t="s">
        <v>149</v>
      </c>
      <c r="B58" t="s">
        <v>9</v>
      </c>
      <c r="C58" t="s">
        <v>10</v>
      </c>
      <c r="D58" t="s">
        <v>22</v>
      </c>
      <c r="E58" t="s">
        <v>12</v>
      </c>
      <c r="F58" t="s">
        <v>22</v>
      </c>
      <c r="G58" t="s">
        <v>24</v>
      </c>
      <c r="H58" t="s">
        <v>150</v>
      </c>
    </row>
    <row r="59" spans="1:8" x14ac:dyDescent="0.3">
      <c r="A59" t="s">
        <v>151</v>
      </c>
      <c r="B59" t="s">
        <v>62</v>
      </c>
      <c r="C59" t="s">
        <v>11</v>
      </c>
      <c r="D59" t="s">
        <v>10</v>
      </c>
      <c r="E59" t="s">
        <v>12</v>
      </c>
    </row>
    <row r="60" spans="1:8" x14ac:dyDescent="0.3">
      <c r="A60" t="s">
        <v>152</v>
      </c>
      <c r="B60" t="s">
        <v>93</v>
      </c>
      <c r="C60" t="s">
        <v>18</v>
      </c>
      <c r="D60" t="s">
        <v>35</v>
      </c>
      <c r="E60" t="s">
        <v>12</v>
      </c>
      <c r="F60" t="s">
        <v>35</v>
      </c>
      <c r="G60" t="s">
        <v>153</v>
      </c>
      <c r="H60" t="s">
        <v>154</v>
      </c>
    </row>
    <row r="61" spans="1:8" x14ac:dyDescent="0.3">
      <c r="A61" t="s">
        <v>152</v>
      </c>
      <c r="B61" t="s">
        <v>96</v>
      </c>
      <c r="C61" t="s">
        <v>28</v>
      </c>
      <c r="D61" t="s">
        <v>34</v>
      </c>
      <c r="E61" t="s">
        <v>12</v>
      </c>
      <c r="F61" t="s">
        <v>34</v>
      </c>
      <c r="G61" t="s">
        <v>83</v>
      </c>
      <c r="H61" t="s">
        <v>155</v>
      </c>
    </row>
    <row r="62" spans="1:8" x14ac:dyDescent="0.3">
      <c r="A62" t="s">
        <v>156</v>
      </c>
      <c r="B62" t="s">
        <v>59</v>
      </c>
      <c r="C62" t="s">
        <v>29</v>
      </c>
      <c r="D62" t="s">
        <v>17</v>
      </c>
      <c r="E62" t="s">
        <v>12</v>
      </c>
      <c r="F62" t="s">
        <v>17</v>
      </c>
      <c r="G62" t="s">
        <v>91</v>
      </c>
      <c r="H62" t="s">
        <v>86</v>
      </c>
    </row>
    <row r="63" spans="1:8" x14ac:dyDescent="0.3">
      <c r="A63" t="s">
        <v>157</v>
      </c>
      <c r="B63" t="s">
        <v>96</v>
      </c>
      <c r="C63" t="s">
        <v>22</v>
      </c>
      <c r="D63" t="s">
        <v>18</v>
      </c>
      <c r="E63" t="s">
        <v>12</v>
      </c>
      <c r="F63" t="s">
        <v>18</v>
      </c>
      <c r="G63" t="s">
        <v>158</v>
      </c>
      <c r="H63" t="s">
        <v>86</v>
      </c>
    </row>
    <row r="64" spans="1:8" x14ac:dyDescent="0.3">
      <c r="A64" t="s">
        <v>159</v>
      </c>
      <c r="B64" t="s">
        <v>56</v>
      </c>
      <c r="C64" t="s">
        <v>23</v>
      </c>
      <c r="D64" t="s">
        <v>28</v>
      </c>
      <c r="E64" t="s">
        <v>12</v>
      </c>
      <c r="F64" t="s">
        <v>23</v>
      </c>
      <c r="G64" t="s">
        <v>160</v>
      </c>
      <c r="H64" t="s">
        <v>161</v>
      </c>
    </row>
    <row r="65" spans="1:8" x14ac:dyDescent="0.3">
      <c r="A65" t="s">
        <v>162</v>
      </c>
      <c r="B65" t="s">
        <v>33</v>
      </c>
      <c r="C65" t="s">
        <v>34</v>
      </c>
      <c r="D65" t="s">
        <v>29</v>
      </c>
      <c r="E65" t="s">
        <v>12</v>
      </c>
      <c r="F65" t="s">
        <v>29</v>
      </c>
      <c r="G65" t="s">
        <v>163</v>
      </c>
      <c r="H65" t="s">
        <v>164</v>
      </c>
    </row>
    <row r="66" spans="1:8" x14ac:dyDescent="0.3">
      <c r="A66" t="s">
        <v>165</v>
      </c>
      <c r="B66" t="s">
        <v>59</v>
      </c>
      <c r="C66" t="s">
        <v>11</v>
      </c>
      <c r="D66" t="s">
        <v>17</v>
      </c>
      <c r="E66" t="s">
        <v>12</v>
      </c>
      <c r="F66" t="s">
        <v>17</v>
      </c>
      <c r="G66" t="s">
        <v>19</v>
      </c>
      <c r="H66" t="s">
        <v>166</v>
      </c>
    </row>
    <row r="67" spans="1:8" x14ac:dyDescent="0.3">
      <c r="A67" t="s">
        <v>167</v>
      </c>
      <c r="B67" t="s">
        <v>93</v>
      </c>
      <c r="C67" t="s">
        <v>35</v>
      </c>
      <c r="D67" t="s">
        <v>28</v>
      </c>
      <c r="E67" t="s">
        <v>12</v>
      </c>
      <c r="F67" t="s">
        <v>28</v>
      </c>
      <c r="G67" t="s">
        <v>168</v>
      </c>
      <c r="H67" t="s">
        <v>86</v>
      </c>
    </row>
    <row r="68" spans="1:8" x14ac:dyDescent="0.3">
      <c r="A68" t="s">
        <v>169</v>
      </c>
      <c r="B68" t="s">
        <v>33</v>
      </c>
      <c r="C68" t="s">
        <v>34</v>
      </c>
      <c r="D68" t="s">
        <v>22</v>
      </c>
      <c r="E68" t="s">
        <v>12</v>
      </c>
      <c r="F68" t="s">
        <v>22</v>
      </c>
      <c r="G68" t="s">
        <v>170</v>
      </c>
      <c r="H68" t="s">
        <v>171</v>
      </c>
    </row>
    <row r="69" spans="1:8" x14ac:dyDescent="0.3">
      <c r="A69" t="s">
        <v>169</v>
      </c>
      <c r="B69" t="s">
        <v>96</v>
      </c>
      <c r="C69" t="s">
        <v>10</v>
      </c>
      <c r="D69" t="s">
        <v>17</v>
      </c>
      <c r="E69" t="s">
        <v>12</v>
      </c>
      <c r="F69" t="s">
        <v>17</v>
      </c>
      <c r="G69" t="s">
        <v>172</v>
      </c>
      <c r="H69" t="s">
        <v>173</v>
      </c>
    </row>
    <row r="70" spans="1:8" x14ac:dyDescent="0.3">
      <c r="A70" t="s">
        <v>174</v>
      </c>
      <c r="B70" t="s">
        <v>93</v>
      </c>
      <c r="C70" t="s">
        <v>35</v>
      </c>
      <c r="D70" t="s">
        <v>23</v>
      </c>
      <c r="E70" t="s">
        <v>12</v>
      </c>
      <c r="F70" t="s">
        <v>35</v>
      </c>
      <c r="G70" t="s">
        <v>175</v>
      </c>
      <c r="H70" t="s">
        <v>14</v>
      </c>
    </row>
    <row r="71" spans="1:8" x14ac:dyDescent="0.3">
      <c r="A71" t="s">
        <v>176</v>
      </c>
      <c r="B71" t="s">
        <v>59</v>
      </c>
      <c r="C71" t="s">
        <v>29</v>
      </c>
      <c r="D71" t="s">
        <v>11</v>
      </c>
      <c r="E71" t="s">
        <v>12</v>
      </c>
      <c r="F71" t="s">
        <v>11</v>
      </c>
      <c r="G71" t="s">
        <v>177</v>
      </c>
      <c r="H71" t="s">
        <v>86</v>
      </c>
    </row>
    <row r="72" spans="1:8" x14ac:dyDescent="0.3">
      <c r="A72" t="s">
        <v>178</v>
      </c>
      <c r="B72" t="s">
        <v>73</v>
      </c>
      <c r="C72" t="s">
        <v>35</v>
      </c>
      <c r="D72" t="s">
        <v>11</v>
      </c>
      <c r="E72" t="s">
        <v>179</v>
      </c>
      <c r="F72" t="s">
        <v>11</v>
      </c>
      <c r="G72" t="s">
        <v>180</v>
      </c>
      <c r="H72" t="s">
        <v>41</v>
      </c>
    </row>
    <row r="73" spans="1:8" x14ac:dyDescent="0.3">
      <c r="A73" t="s">
        <v>181</v>
      </c>
      <c r="B73" t="s">
        <v>73</v>
      </c>
      <c r="C73" t="s">
        <v>34</v>
      </c>
      <c r="D73" t="s">
        <v>23</v>
      </c>
      <c r="E73" t="s">
        <v>179</v>
      </c>
      <c r="F73" t="s">
        <v>23</v>
      </c>
      <c r="G73" t="s">
        <v>114</v>
      </c>
      <c r="H73" t="s">
        <v>182</v>
      </c>
    </row>
    <row r="74" spans="1:8" x14ac:dyDescent="0.3">
      <c r="A74" t="s">
        <v>183</v>
      </c>
      <c r="B74" t="s">
        <v>33</v>
      </c>
      <c r="C74" t="s">
        <v>35</v>
      </c>
      <c r="D74" t="s">
        <v>23</v>
      </c>
      <c r="E74" t="s">
        <v>179</v>
      </c>
      <c r="F74" t="s">
        <v>35</v>
      </c>
      <c r="G74" t="s">
        <v>36</v>
      </c>
      <c r="H74" t="s">
        <v>44</v>
      </c>
    </row>
    <row r="75" spans="1:8" x14ac:dyDescent="0.3">
      <c r="A75" t="s">
        <v>184</v>
      </c>
      <c r="B75" t="s">
        <v>33</v>
      </c>
      <c r="C75" t="s">
        <v>11</v>
      </c>
      <c r="D75" t="s">
        <v>35</v>
      </c>
      <c r="E75" t="s">
        <v>185</v>
      </c>
      <c r="F75" t="s">
        <v>11</v>
      </c>
      <c r="G75" t="s">
        <v>13</v>
      </c>
      <c r="H75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0668B-A30D-4D52-BF6B-82DD42C685C9}">
  <dimension ref="A1:D11"/>
  <sheetViews>
    <sheetView tabSelected="1" workbookViewId="0">
      <selection activeCell="A19" sqref="A19"/>
    </sheetView>
  </sheetViews>
  <sheetFormatPr defaultRowHeight="14.4" x14ac:dyDescent="0.3"/>
  <cols>
    <col min="2" max="2" width="35.44140625" customWidth="1"/>
    <col min="3" max="3" width="19" customWidth="1"/>
    <col min="4" max="4" width="20.44140625" customWidth="1"/>
  </cols>
  <sheetData>
    <row r="1" spans="1:4" x14ac:dyDescent="0.3">
      <c r="A1" s="1" t="s">
        <v>186</v>
      </c>
      <c r="B1" s="1" t="s">
        <v>187</v>
      </c>
      <c r="C1" s="1" t="s">
        <v>188</v>
      </c>
      <c r="D1" s="1" t="s">
        <v>189</v>
      </c>
    </row>
    <row r="2" spans="1:4" x14ac:dyDescent="0.3">
      <c r="A2" t="s">
        <v>22</v>
      </c>
      <c r="B2">
        <f>COUNTIF(ipl_2026_analysis!C:C,A2)+COUNTIF(ipl_2026_analysis!D:D,A2)</f>
        <v>14</v>
      </c>
      <c r="C2">
        <f>COUNTIF(ipl_2026_analysis!F:F,A2)</f>
        <v>4</v>
      </c>
      <c r="D2" s="2">
        <f>C2/B2</f>
        <v>0.2857142857142857</v>
      </c>
    </row>
    <row r="3" spans="1:4" x14ac:dyDescent="0.3">
      <c r="A3" t="s">
        <v>28</v>
      </c>
      <c r="B3">
        <f>COUNTIF(ipl_2026_analysis!C:C,A3)+COUNTIF(ipl_2026_analysis!D:D,A3)</f>
        <v>14</v>
      </c>
      <c r="C3">
        <f>COUNTIF(ipl_2026_analysis!F:F,A3)</f>
        <v>8</v>
      </c>
      <c r="D3" s="2">
        <f t="shared" ref="D3:D11" si="0">C3/B3</f>
        <v>0.5714285714285714</v>
      </c>
    </row>
    <row r="4" spans="1:4" x14ac:dyDescent="0.3">
      <c r="A4" t="s">
        <v>34</v>
      </c>
      <c r="B4">
        <f>COUNTIF(ipl_2026_analysis!C:C,A4)+COUNTIF(ipl_2026_analysis!D:D,A4)</f>
        <v>15</v>
      </c>
      <c r="C4">
        <f>COUNTIF(ipl_2026_analysis!F:F,A4)</f>
        <v>9</v>
      </c>
      <c r="D4" s="2">
        <f t="shared" si="0"/>
        <v>0.6</v>
      </c>
    </row>
    <row r="5" spans="1:4" x14ac:dyDescent="0.3">
      <c r="A5" t="s">
        <v>10</v>
      </c>
      <c r="B5">
        <f>COUNTIF(ipl_2026_analysis!C:C,A5)+COUNTIF(ipl_2026_analysis!D:D,A5)</f>
        <v>14</v>
      </c>
      <c r="C5">
        <f>COUNTIF(ipl_2026_analysis!F:F,A5)</f>
        <v>5</v>
      </c>
      <c r="D5" s="2">
        <f t="shared" si="0"/>
        <v>0.35714285714285715</v>
      </c>
    </row>
    <row r="6" spans="1:4" x14ac:dyDescent="0.3">
      <c r="A6" t="s">
        <v>29</v>
      </c>
      <c r="B6">
        <f>COUNTIF(ipl_2026_analysis!C:C,A6)+COUNTIF(ipl_2026_analysis!D:D,A6)</f>
        <v>14</v>
      </c>
      <c r="C6">
        <f>COUNTIF(ipl_2026_analysis!F:F,A6)</f>
        <v>6</v>
      </c>
      <c r="D6" s="2">
        <f t="shared" si="0"/>
        <v>0.42857142857142855</v>
      </c>
    </row>
    <row r="7" spans="1:4" x14ac:dyDescent="0.3">
      <c r="A7" t="s">
        <v>23</v>
      </c>
      <c r="B7">
        <f>COUNTIF(ipl_2026_analysis!C:C,A7)+COUNTIF(ipl_2026_analysis!D:D,A7)</f>
        <v>16</v>
      </c>
      <c r="C7">
        <f>COUNTIF(ipl_2026_analysis!F:F,A7)</f>
        <v>8</v>
      </c>
      <c r="D7" s="2">
        <f t="shared" si="0"/>
        <v>0.5</v>
      </c>
    </row>
    <row r="8" spans="1:4" x14ac:dyDescent="0.3">
      <c r="A8" t="s">
        <v>35</v>
      </c>
      <c r="B8">
        <f>COUNTIF(ipl_2026_analysis!C:C,A8)+COUNTIF(ipl_2026_analysis!D:D,A8)</f>
        <v>17</v>
      </c>
      <c r="C8">
        <f>COUNTIF(ipl_2026_analysis!F:F,A8)</f>
        <v>11</v>
      </c>
      <c r="D8" s="2">
        <f t="shared" si="0"/>
        <v>0.6470588235294118</v>
      </c>
    </row>
    <row r="9" spans="1:4" x14ac:dyDescent="0.3">
      <c r="A9" t="s">
        <v>11</v>
      </c>
      <c r="B9">
        <f>COUNTIF(ipl_2026_analysis!C:C,A9)+COUNTIF(ipl_2026_analysis!D:D,A9)</f>
        <v>16</v>
      </c>
      <c r="C9">
        <f>COUNTIF(ipl_2026_analysis!F:F,A9)</f>
        <v>10</v>
      </c>
      <c r="D9" s="2">
        <f t="shared" si="0"/>
        <v>0.625</v>
      </c>
    </row>
    <row r="10" spans="1:4" x14ac:dyDescent="0.3">
      <c r="A10" t="s">
        <v>18</v>
      </c>
      <c r="B10">
        <f>COUNTIF(ipl_2026_analysis!C:C,A10)+COUNTIF(ipl_2026_analysis!D:D,A10)</f>
        <v>14</v>
      </c>
      <c r="C10">
        <f>COUNTIF(ipl_2026_analysis!F:F,A10)</f>
        <v>4</v>
      </c>
      <c r="D10" s="2">
        <f t="shared" si="0"/>
        <v>0.2857142857142857</v>
      </c>
    </row>
    <row r="11" spans="1:4" x14ac:dyDescent="0.3">
      <c r="A11" t="s">
        <v>17</v>
      </c>
      <c r="B11">
        <f>COUNTIF(ipl_2026_analysis!C:C,A11)+COUNTIF(ipl_2026_analysis!D:D,A11)</f>
        <v>14</v>
      </c>
      <c r="C11">
        <f>COUNTIF(ipl_2026_analysis!F:F,A11)</f>
        <v>6</v>
      </c>
      <c r="D11" s="2">
        <f t="shared" si="0"/>
        <v>0.42857142857142855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ipl_2026_analysis</vt:lpstr>
      <vt:lpstr>Team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Perumalla Akshaya</dc:creator>
  <cp:lastModifiedBy>Perumalla Akshaya</cp:lastModifiedBy>
  <dcterms:created xsi:type="dcterms:W3CDTF">2026-08-16T12:36:24Z</dcterms:created>
  <dcterms:modified xsi:type="dcterms:W3CDTF">2026-08-17T14:05:35Z</dcterms:modified>
</cp:coreProperties>
</file>